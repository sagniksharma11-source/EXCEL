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B-102_39\Desktop\SAGNIK\"/>
    </mc:Choice>
  </mc:AlternateContent>
  <xr:revisionPtr revIDLastSave="0" documentId="8_{A23DD631-5AE2-4BF9-9031-08110CC21A1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Transactions" sheetId="1" r:id="rId1"/>
    <sheet name="Binary_Matrix" sheetId="2" r:id="rId2"/>
    <sheet name="items" sheetId="3" r:id="rId3"/>
    <sheet name="Solver_model" sheetId="4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E5" i="4"/>
  <c r="I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18" i="4"/>
  <c r="C18" i="2"/>
  <c r="D18" i="2"/>
  <c r="E18" i="2"/>
  <c r="F18" i="2"/>
  <c r="G18" i="2"/>
  <c r="B18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  <c r="I31" i="4"/>
  <c r="K31" i="4" s="1"/>
  <c r="A31" i="4"/>
  <c r="A30" i="4"/>
  <c r="I29" i="4"/>
  <c r="K29" i="4" s="1"/>
  <c r="A29" i="4"/>
  <c r="A28" i="4"/>
  <c r="I27" i="4"/>
  <c r="A27" i="4"/>
  <c r="A26" i="4"/>
  <c r="A25" i="4"/>
  <c r="I24" i="4"/>
  <c r="A24" i="4"/>
  <c r="I23" i="4"/>
  <c r="K23" i="4" s="1"/>
  <c r="A23" i="4"/>
  <c r="A22" i="4"/>
  <c r="I21" i="4"/>
  <c r="K21" i="4" s="1"/>
  <c r="A21" i="4"/>
  <c r="I20" i="4"/>
  <c r="K20" i="4" s="1"/>
  <c r="A20" i="4"/>
  <c r="I19" i="4"/>
  <c r="K19" i="4" s="1"/>
  <c r="A19" i="4"/>
  <c r="A18" i="4"/>
  <c r="K18" i="4" l="1"/>
  <c r="K24" i="4"/>
  <c r="K27" i="4"/>
  <c r="J22" i="4"/>
  <c r="J23" i="4"/>
  <c r="J24" i="4"/>
  <c r="J30" i="4"/>
  <c r="J31" i="4"/>
  <c r="J18" i="4"/>
  <c r="J19" i="4"/>
  <c r="J20" i="4"/>
  <c r="J21" i="4"/>
  <c r="J28" i="4"/>
  <c r="J29" i="4"/>
  <c r="J25" i="4"/>
  <c r="J26" i="4"/>
  <c r="J27" i="4"/>
  <c r="I25" i="4"/>
  <c r="K25" i="4" s="1"/>
  <c r="I30" i="4"/>
  <c r="K30" i="4" s="1"/>
  <c r="I26" i="4"/>
  <c r="K26" i="4" s="1"/>
  <c r="I22" i="4"/>
  <c r="K22" i="4" s="1"/>
  <c r="I28" i="4"/>
  <c r="K28" i="4" s="1"/>
  <c r="E8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8" authorId="0" shapeId="0" xr:uid="{9F5A5B74-9A7D-417C-AF86-9DC46E0D80CD}">
      <text>
        <r>
          <rPr>
            <sz val="11"/>
            <color theme="1"/>
            <rFont val="Calibri"/>
            <family val="2"/>
            <scheme val="minor"/>
          </rPr>
          <t>Objective for Solver: maximize this support count. It sums the Match? flags in K18:K32.</t>
        </r>
      </text>
    </comment>
  </commentList>
</comments>
</file>

<file path=xl/sharedStrings.xml><?xml version="1.0" encoding="utf-8"?>
<sst xmlns="http://schemas.openxmlformats.org/spreadsheetml/2006/main" count="116" uniqueCount="75">
  <si>
    <t>Transaction_ID</t>
  </si>
  <si>
    <t>Items_Purchased</t>
  </si>
  <si>
    <t>T001</t>
  </si>
  <si>
    <t>Rice, Dal, Oil</t>
  </si>
  <si>
    <t>T002</t>
  </si>
  <si>
    <t>Rice, Salt</t>
  </si>
  <si>
    <t>T003</t>
  </si>
  <si>
    <t>Dal, Oil, Salt</t>
  </si>
  <si>
    <t>T004</t>
  </si>
  <si>
    <t>Rice, Dal</t>
  </si>
  <si>
    <t>T005</t>
  </si>
  <si>
    <t>Rice, Oil</t>
  </si>
  <si>
    <t>T006</t>
  </si>
  <si>
    <t>Salt, Soap</t>
  </si>
  <si>
    <t>T007</t>
  </si>
  <si>
    <t>Rice, Dal, Oil, Salt</t>
  </si>
  <si>
    <t>T008</t>
  </si>
  <si>
    <t>Soap, Shampoo</t>
  </si>
  <si>
    <t>T009</t>
  </si>
  <si>
    <t>Rice, Soap</t>
  </si>
  <si>
    <t>T010</t>
  </si>
  <si>
    <t>Dal, Salt</t>
  </si>
  <si>
    <t>T011</t>
  </si>
  <si>
    <t>Rice, Shampoo</t>
  </si>
  <si>
    <t>T012</t>
  </si>
  <si>
    <t>Oil, Salt</t>
  </si>
  <si>
    <t>T013</t>
  </si>
  <si>
    <t>Rice, Dal, Soap</t>
  </si>
  <si>
    <t>T014</t>
  </si>
  <si>
    <t>Shampoo, Soap</t>
  </si>
  <si>
    <t>T015</t>
  </si>
  <si>
    <t>Rice, Oil, Salt</t>
  </si>
  <si>
    <t>Rice</t>
  </si>
  <si>
    <t>Dal</t>
  </si>
  <si>
    <t>Oil</t>
  </si>
  <si>
    <t>Salt</t>
  </si>
  <si>
    <t>Soap</t>
  </si>
  <si>
    <t>Shampoo</t>
  </si>
  <si>
    <t>Item Master List</t>
  </si>
  <si>
    <t>Item</t>
  </si>
  <si>
    <t>Use in Model</t>
  </si>
  <si>
    <t>rice</t>
  </si>
  <si>
    <t>dal</t>
  </si>
  <si>
    <t>oil</t>
  </si>
  <si>
    <t>salt</t>
  </si>
  <si>
    <t>shampoo</t>
  </si>
  <si>
    <t>soap</t>
  </si>
  <si>
    <t>yes</t>
  </si>
  <si>
    <t>Model controls and outputs</t>
  </si>
  <si>
    <t>Selected Items Count</t>
  </si>
  <si>
    <t>Min Items</t>
  </si>
  <si>
    <t>Max Items</t>
  </si>
  <si>
    <t>Support Count (Objective)</t>
  </si>
  <si>
    <t>Support %</t>
  </si>
  <si>
    <t>Solver setup</t>
  </si>
  <si>
    <t>Objective cell</t>
  </si>
  <si>
    <t>$E$8  (Max)</t>
  </si>
  <si>
    <t>Changing cells</t>
  </si>
  <si>
    <t>$B$5:$B$11</t>
  </si>
  <si>
    <t>Constraint 1</t>
  </si>
  <si>
    <t>$B$5:$B$11 = binary</t>
  </si>
  <si>
    <t>Constraint 2</t>
  </si>
  <si>
    <t>$E$5 &gt;= $E$6</t>
  </si>
  <si>
    <t>Constraint 3</t>
  </si>
  <si>
    <t>$E$5 &lt;= $E$7</t>
  </si>
  <si>
    <t>Method</t>
  </si>
  <si>
    <t>Evolutionary</t>
  </si>
  <si>
    <t>Transaction-level match logic</t>
  </si>
  <si>
    <t>T_ID</t>
  </si>
  <si>
    <t>Row Dot Product</t>
  </si>
  <si>
    <t>Selected Count</t>
  </si>
  <si>
    <t>Match?</t>
  </si>
  <si>
    <t>item_count</t>
  </si>
  <si>
    <t>item_support</t>
  </si>
  <si>
    <t>select(0/1)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</si>
</sst>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8000"/>
      <name val="Calibri"/>
      <family val="2"/>
    </font>
    <font>
      <sz val="11"/>
      <color rgb="FF666666"/>
      <name val="Calibri"/>
      <family val="2"/>
    </font>
    <font>
      <b/>
      <sz val="14"/>
      <color theme="0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theme="5"/>
        <bgColor indexed="64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6" fillId="4" borderId="0" xfId="0" applyFont="1" applyFill="1" applyAlignment="1">
      <alignment horizontal="left" vertical="center"/>
    </xf>
    <xf numFmtId="0" fontId="2" fillId="4" borderId="0" xfId="0" applyFont="1" applyFill="1"/>
    <xf numFmtId="0" fontId="3" fillId="5" borderId="0" xfId="0" applyFont="1" applyFill="1" applyAlignment="1">
      <alignment horizontal="left" vertical="center"/>
    </xf>
    <xf numFmtId="0" fontId="7" fillId="5" borderId="1" xfId="0" applyFont="1" applyFill="1" applyBorder="1"/>
    <xf numFmtId="0" fontId="3" fillId="5" borderId="1" xfId="0" applyFont="1" applyFill="1" applyBorder="1" applyAlignment="1">
      <alignment horizontal="center"/>
    </xf>
    <xf numFmtId="0" fontId="7" fillId="6" borderId="1" xfId="0" applyFont="1" applyFill="1" applyBorder="1"/>
    <xf numFmtId="0" fontId="8" fillId="6" borderId="1" xfId="0" applyFont="1" applyFill="1" applyBorder="1" applyAlignment="1">
      <alignment horizontal="center"/>
    </xf>
    <xf numFmtId="0" fontId="7" fillId="7" borderId="1" xfId="0" applyFont="1" applyFill="1" applyBorder="1"/>
    <xf numFmtId="0" fontId="3" fillId="7" borderId="1" xfId="0" applyFont="1" applyFill="1" applyBorder="1" applyAlignment="1">
      <alignment horizontal="center"/>
    </xf>
    <xf numFmtId="164" fontId="3" fillId="7" borderId="1" xfId="0" applyNumberFormat="1" applyFont="1" applyFill="1" applyBorder="1" applyAlignment="1">
      <alignment horizontal="center"/>
    </xf>
    <xf numFmtId="0" fontId="3" fillId="8" borderId="0" xfId="0" applyFont="1" applyFill="1" applyAlignment="1">
      <alignment horizontal="left" vertical="center"/>
    </xf>
    <xf numFmtId="0" fontId="7" fillId="0" borderId="1" xfId="0" applyFont="1" applyBorder="1"/>
    <xf numFmtId="0" fontId="0" fillId="0" borderId="1" xfId="0" applyBorder="1"/>
    <xf numFmtId="0" fontId="3" fillId="9" borderId="0" xfId="0" applyFont="1" applyFill="1" applyAlignment="1">
      <alignment horizontal="left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market_basket_solver_workbook.xlsx" TargetMode="External"/><Relationship Id="rId2" Type="http://schemas.openxmlformats.org/officeDocument/2006/relationships/externalLinkPath" Target="file:///C:\Users\LAB-102_39\Desktop\market_basket_solver_workbook.xlsx" TargetMode="External"/><Relationship Id="rId1" Type="http://schemas.openxmlformats.org/officeDocument/2006/relationships/externalLinkPath" Target="/Users/LAB-102_39/Desktop/market_basket_solver_workbo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inaryMatri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uide"/>
      <sheetName val="Transactions"/>
      <sheetName val="Items"/>
      <sheetName val="BinaryMatrix"/>
      <sheetName val="Solver_Model"/>
    </sheetNames>
    <sheetDataSet>
      <sheetData sheetId="0"/>
      <sheetData sheetId="1"/>
      <sheetData sheetId="2"/>
      <sheetData sheetId="3">
        <row r="4">
          <cell r="A4" t="str">
            <v>T001</v>
          </cell>
        </row>
        <row r="5">
          <cell r="A5" t="str">
            <v>T002</v>
          </cell>
        </row>
        <row r="6">
          <cell r="A6" t="str">
            <v>T003</v>
          </cell>
        </row>
        <row r="7">
          <cell r="A7" t="str">
            <v>T004</v>
          </cell>
        </row>
        <row r="8">
          <cell r="A8" t="str">
            <v>T005</v>
          </cell>
        </row>
        <row r="9">
          <cell r="A9" t="str">
            <v>T006</v>
          </cell>
        </row>
        <row r="10">
          <cell r="A10" t="str">
            <v>T007</v>
          </cell>
        </row>
        <row r="11">
          <cell r="A11" t="str">
            <v>T008</v>
          </cell>
        </row>
        <row r="12">
          <cell r="A12" t="str">
            <v>T009</v>
          </cell>
        </row>
        <row r="13">
          <cell r="A13" t="str">
            <v>T010</v>
          </cell>
        </row>
        <row r="14">
          <cell r="A14" t="str">
            <v>T011</v>
          </cell>
        </row>
        <row r="15">
          <cell r="A15" t="str">
            <v>T012</v>
          </cell>
        </row>
        <row r="16">
          <cell r="A16" t="str">
            <v>T013</v>
          </cell>
        </row>
        <row r="17">
          <cell r="A17" t="str">
            <v>T014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actions"/>
      <sheetName val="Binary_Matrix"/>
      <sheetName val="BinaryMatrix"/>
    </sheetNames>
    <sheetDataSet>
      <sheetData sheetId="0"/>
      <sheetData sheetId="1">
        <row r="2">
          <cell r="B2">
            <v>1</v>
          </cell>
          <cell r="C2">
            <v>1</v>
          </cell>
          <cell r="D2">
            <v>1</v>
          </cell>
          <cell r="E2">
            <v>0</v>
          </cell>
          <cell r="F2">
            <v>0</v>
          </cell>
          <cell r="G2">
            <v>0</v>
          </cell>
        </row>
        <row r="3">
          <cell r="B3">
            <v>1</v>
          </cell>
          <cell r="C3">
            <v>0</v>
          </cell>
          <cell r="D3">
            <v>0</v>
          </cell>
          <cell r="E3">
            <v>1</v>
          </cell>
          <cell r="F3">
            <v>0</v>
          </cell>
          <cell r="G3">
            <v>0</v>
          </cell>
        </row>
        <row r="4">
          <cell r="B4">
            <v>0</v>
          </cell>
          <cell r="C4">
            <v>1</v>
          </cell>
          <cell r="D4">
            <v>1</v>
          </cell>
          <cell r="E4">
            <v>1</v>
          </cell>
          <cell r="F4">
            <v>0</v>
          </cell>
          <cell r="G4">
            <v>0</v>
          </cell>
        </row>
        <row r="5">
          <cell r="B5">
            <v>1</v>
          </cell>
          <cell r="C5">
            <v>1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B6">
            <v>1</v>
          </cell>
          <cell r="C6">
            <v>0</v>
          </cell>
          <cell r="D6">
            <v>1</v>
          </cell>
          <cell r="E6">
            <v>0</v>
          </cell>
          <cell r="F6">
            <v>0</v>
          </cell>
          <cell r="G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1</v>
          </cell>
          <cell r="F7">
            <v>1</v>
          </cell>
          <cell r="G7">
            <v>0</v>
          </cell>
        </row>
        <row r="8">
          <cell r="B8">
            <v>1</v>
          </cell>
          <cell r="C8">
            <v>1</v>
          </cell>
          <cell r="D8">
            <v>1</v>
          </cell>
          <cell r="E8">
            <v>1</v>
          </cell>
          <cell r="F8">
            <v>0</v>
          </cell>
          <cell r="G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1</v>
          </cell>
          <cell r="G9">
            <v>1</v>
          </cell>
        </row>
        <row r="10">
          <cell r="B10">
            <v>1</v>
          </cell>
          <cell r="C10">
            <v>0</v>
          </cell>
          <cell r="D10">
            <v>0</v>
          </cell>
          <cell r="E10">
            <v>0</v>
          </cell>
          <cell r="F10">
            <v>1</v>
          </cell>
          <cell r="G10">
            <v>0</v>
          </cell>
        </row>
        <row r="11">
          <cell r="B11">
            <v>0</v>
          </cell>
          <cell r="C11">
            <v>1</v>
          </cell>
          <cell r="D11">
            <v>0</v>
          </cell>
          <cell r="E11">
            <v>1</v>
          </cell>
          <cell r="F11">
            <v>0</v>
          </cell>
          <cell r="G11">
            <v>0</v>
          </cell>
        </row>
        <row r="12">
          <cell r="B12">
            <v>1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</v>
          </cell>
        </row>
        <row r="13">
          <cell r="B13">
            <v>0</v>
          </cell>
          <cell r="C13">
            <v>0</v>
          </cell>
          <cell r="D13">
            <v>1</v>
          </cell>
          <cell r="E13">
            <v>1</v>
          </cell>
          <cell r="F13">
            <v>0</v>
          </cell>
          <cell r="G13">
            <v>0</v>
          </cell>
        </row>
        <row r="14">
          <cell r="B14">
            <v>1</v>
          </cell>
          <cell r="C14">
            <v>1</v>
          </cell>
          <cell r="D14">
            <v>0</v>
          </cell>
          <cell r="E14">
            <v>0</v>
          </cell>
          <cell r="F14">
            <v>1</v>
          </cell>
          <cell r="G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1</v>
          </cell>
          <cell r="G15">
            <v>1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B2" sqref="B2"/>
    </sheetView>
  </sheetViews>
  <sheetFormatPr defaultRowHeight="15" x14ac:dyDescent="0.25"/>
  <cols>
    <col min="1" max="1" width="16" customWidth="1"/>
    <col min="2" max="2" width="20.28515625" customWidth="1"/>
    <col min="4" max="4" width="13.85546875" customWidth="1"/>
  </cols>
  <sheetData>
    <row r="1" spans="1:7" s="24" customFormat="1" x14ac:dyDescent="0.25">
      <c r="A1" s="24" t="s">
        <v>0</v>
      </c>
      <c r="B1" s="24" t="s">
        <v>1</v>
      </c>
      <c r="D1" s="24" t="s">
        <v>72</v>
      </c>
    </row>
    <row r="2" spans="1:7" x14ac:dyDescent="0.25">
      <c r="A2" t="s">
        <v>2</v>
      </c>
      <c r="B2" t="s">
        <v>3</v>
      </c>
      <c r="D2" s="22">
        <f>IF(B2="","",LEN(B2)-LEN(SUBSTITUTE(B2,",",""))+1)</f>
        <v>3</v>
      </c>
    </row>
    <row r="3" spans="1:7" x14ac:dyDescent="0.25">
      <c r="A3" t="s">
        <v>4</v>
      </c>
      <c r="B3" t="s">
        <v>5</v>
      </c>
      <c r="D3" s="22">
        <f t="shared" ref="D3:D16" si="0">IF(B3="","",LEN(B3)-LEN(SUBSTITUTE(B3,",",""))+1)</f>
        <v>2</v>
      </c>
    </row>
    <row r="4" spans="1:7" x14ac:dyDescent="0.25">
      <c r="A4" t="s">
        <v>6</v>
      </c>
      <c r="B4" t="s">
        <v>7</v>
      </c>
      <c r="D4" s="22">
        <f t="shared" si="0"/>
        <v>3</v>
      </c>
    </row>
    <row r="5" spans="1:7" x14ac:dyDescent="0.25">
      <c r="A5" t="s">
        <v>8</v>
      </c>
      <c r="B5" t="s">
        <v>9</v>
      </c>
      <c r="D5" s="22">
        <f t="shared" si="0"/>
        <v>2</v>
      </c>
    </row>
    <row r="6" spans="1:7" x14ac:dyDescent="0.25">
      <c r="A6" t="s">
        <v>10</v>
      </c>
      <c r="B6" t="s">
        <v>11</v>
      </c>
      <c r="D6" s="22">
        <f t="shared" si="0"/>
        <v>2</v>
      </c>
    </row>
    <row r="7" spans="1:7" x14ac:dyDescent="0.25">
      <c r="A7" t="s">
        <v>12</v>
      </c>
      <c r="B7" t="s">
        <v>13</v>
      </c>
      <c r="D7" s="22">
        <f t="shared" si="0"/>
        <v>2</v>
      </c>
    </row>
    <row r="8" spans="1:7" x14ac:dyDescent="0.25">
      <c r="A8" t="s">
        <v>14</v>
      </c>
      <c r="B8" t="s">
        <v>15</v>
      </c>
      <c r="D8" s="22">
        <f t="shared" si="0"/>
        <v>4</v>
      </c>
      <c r="G8" t="s">
        <v>41</v>
      </c>
    </row>
    <row r="9" spans="1:7" x14ac:dyDescent="0.25">
      <c r="A9" t="s">
        <v>16</v>
      </c>
      <c r="B9" t="s">
        <v>17</v>
      </c>
      <c r="D9" s="22">
        <f t="shared" si="0"/>
        <v>2</v>
      </c>
      <c r="G9" t="s">
        <v>43</v>
      </c>
    </row>
    <row r="10" spans="1:7" x14ac:dyDescent="0.25">
      <c r="A10" t="s">
        <v>18</v>
      </c>
      <c r="B10" t="s">
        <v>19</v>
      </c>
      <c r="D10" s="22">
        <f t="shared" si="0"/>
        <v>2</v>
      </c>
      <c r="G10" t="s">
        <v>42</v>
      </c>
    </row>
    <row r="11" spans="1:7" x14ac:dyDescent="0.25">
      <c r="A11" t="s">
        <v>20</v>
      </c>
      <c r="B11" t="s">
        <v>21</v>
      </c>
      <c r="D11" s="22">
        <f t="shared" si="0"/>
        <v>2</v>
      </c>
      <c r="G11" t="s">
        <v>44</v>
      </c>
    </row>
    <row r="12" spans="1:7" x14ac:dyDescent="0.25">
      <c r="A12" t="s">
        <v>22</v>
      </c>
      <c r="B12" t="s">
        <v>23</v>
      </c>
      <c r="D12" s="22">
        <f t="shared" si="0"/>
        <v>2</v>
      </c>
      <c r="G12" t="s">
        <v>46</v>
      </c>
    </row>
    <row r="13" spans="1:7" x14ac:dyDescent="0.25">
      <c r="A13" t="s">
        <v>24</v>
      </c>
      <c r="B13" t="s">
        <v>25</v>
      </c>
      <c r="D13" s="22">
        <f t="shared" si="0"/>
        <v>2</v>
      </c>
      <c r="G13" t="s">
        <v>45</v>
      </c>
    </row>
    <row r="14" spans="1:7" x14ac:dyDescent="0.25">
      <c r="A14" t="s">
        <v>26</v>
      </c>
      <c r="B14" t="s">
        <v>27</v>
      </c>
      <c r="D14" s="22">
        <f t="shared" si="0"/>
        <v>3</v>
      </c>
    </row>
    <row r="15" spans="1:7" x14ac:dyDescent="0.25">
      <c r="A15" t="s">
        <v>28</v>
      </c>
      <c r="B15" t="s">
        <v>29</v>
      </c>
      <c r="D15" s="22">
        <f t="shared" si="0"/>
        <v>2</v>
      </c>
    </row>
    <row r="16" spans="1:7" x14ac:dyDescent="0.25">
      <c r="A16" t="s">
        <v>30</v>
      </c>
      <c r="B16" t="s">
        <v>31</v>
      </c>
      <c r="D16" s="22">
        <f t="shared" si="0"/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workbookViewId="0">
      <selection activeCell="B2" sqref="B2"/>
    </sheetView>
  </sheetViews>
  <sheetFormatPr defaultRowHeight="15" x14ac:dyDescent="0.25"/>
  <cols>
    <col min="1" max="1" width="14" customWidth="1"/>
  </cols>
  <sheetData>
    <row r="1" spans="1:7" x14ac:dyDescent="0.25">
      <c r="A1" s="25" t="s">
        <v>0</v>
      </c>
      <c r="B1" s="25" t="s">
        <v>32</v>
      </c>
      <c r="C1" s="25" t="s">
        <v>33</v>
      </c>
      <c r="D1" s="25" t="s">
        <v>34</v>
      </c>
      <c r="E1" s="25" t="s">
        <v>35</v>
      </c>
      <c r="F1" s="25" t="s">
        <v>36</v>
      </c>
      <c r="G1" s="25" t="s">
        <v>37</v>
      </c>
    </row>
    <row r="2" spans="1:7" x14ac:dyDescent="0.25">
      <c r="A2" t="s">
        <v>2</v>
      </c>
      <c r="B2">
        <f>--ISNUMBER(SEARCH(","&amp;B$1&amp;",",","&amp;SUBSTITUTE(Transactions!$B2,", ",",")&amp;","))</f>
        <v>1</v>
      </c>
      <c r="C2">
        <f>--ISNUMBER(SEARCH(","&amp;C$1&amp;",",","&amp;SUBSTITUTE(Transactions!$B2,", ",",")&amp;","))</f>
        <v>1</v>
      </c>
      <c r="D2">
        <f>--ISNUMBER(SEARCH(","&amp;D$1&amp;",",","&amp;SUBSTITUTE(Transactions!$B2,", ",",")&amp;","))</f>
        <v>1</v>
      </c>
      <c r="E2">
        <f>--ISNUMBER(SEARCH(","&amp;E$1&amp;",",","&amp;SUBSTITUTE(Transactions!$B2,", ",",")&amp;","))</f>
        <v>0</v>
      </c>
      <c r="F2">
        <f>--ISNUMBER(SEARCH(","&amp;F$1&amp;",",","&amp;SUBSTITUTE(Transactions!$B2,", ",",")&amp;","))</f>
        <v>0</v>
      </c>
      <c r="G2">
        <f>--ISNUMBER(SEARCH(","&amp;G$1&amp;",",","&amp;SUBSTITUTE(Transactions!$B2,", ",",")&amp;","))</f>
        <v>0</v>
      </c>
    </row>
    <row r="3" spans="1:7" x14ac:dyDescent="0.25">
      <c r="A3" t="s">
        <v>4</v>
      </c>
      <c r="B3">
        <f>--ISNUMBER(SEARCH(","&amp;B$1&amp;",",","&amp;SUBSTITUTE(Transactions!$B3,", ",",")&amp;","))</f>
        <v>1</v>
      </c>
      <c r="C3">
        <f>--ISNUMBER(SEARCH(","&amp;C$1&amp;",",","&amp;SUBSTITUTE(Transactions!$B3,", ",",")&amp;","))</f>
        <v>0</v>
      </c>
      <c r="D3">
        <f>--ISNUMBER(SEARCH(","&amp;D$1&amp;",",","&amp;SUBSTITUTE(Transactions!$B3,", ",",")&amp;","))</f>
        <v>0</v>
      </c>
      <c r="E3">
        <f>--ISNUMBER(SEARCH(","&amp;E$1&amp;",",","&amp;SUBSTITUTE(Transactions!$B3,", ",",")&amp;","))</f>
        <v>1</v>
      </c>
      <c r="F3">
        <f>--ISNUMBER(SEARCH(","&amp;F$1&amp;",",","&amp;SUBSTITUTE(Transactions!$B3,", ",",")&amp;","))</f>
        <v>0</v>
      </c>
      <c r="G3">
        <f>--ISNUMBER(SEARCH(","&amp;G$1&amp;",",","&amp;SUBSTITUTE(Transactions!$B3,", ",",")&amp;","))</f>
        <v>0</v>
      </c>
    </row>
    <row r="4" spans="1:7" x14ac:dyDescent="0.25">
      <c r="A4" t="s">
        <v>6</v>
      </c>
      <c r="B4">
        <f>--ISNUMBER(SEARCH(","&amp;B$1&amp;",",","&amp;SUBSTITUTE(Transactions!$B4,", ",",")&amp;","))</f>
        <v>0</v>
      </c>
      <c r="C4">
        <f>--ISNUMBER(SEARCH(","&amp;C$1&amp;",",","&amp;SUBSTITUTE(Transactions!$B4,", ",",")&amp;","))</f>
        <v>1</v>
      </c>
      <c r="D4">
        <f>--ISNUMBER(SEARCH(","&amp;D$1&amp;",",","&amp;SUBSTITUTE(Transactions!$B4,", ",",")&amp;","))</f>
        <v>1</v>
      </c>
      <c r="E4">
        <f>--ISNUMBER(SEARCH(","&amp;E$1&amp;",",","&amp;SUBSTITUTE(Transactions!$B4,", ",",")&amp;","))</f>
        <v>1</v>
      </c>
      <c r="F4">
        <f>--ISNUMBER(SEARCH(","&amp;F$1&amp;",",","&amp;SUBSTITUTE(Transactions!$B4,", ",",")&amp;","))</f>
        <v>0</v>
      </c>
      <c r="G4">
        <f>--ISNUMBER(SEARCH(","&amp;G$1&amp;",",","&amp;SUBSTITUTE(Transactions!$B4,", ",",")&amp;","))</f>
        <v>0</v>
      </c>
    </row>
    <row r="5" spans="1:7" x14ac:dyDescent="0.25">
      <c r="A5" t="s">
        <v>8</v>
      </c>
      <c r="B5">
        <f>--ISNUMBER(SEARCH(","&amp;B$1&amp;",",","&amp;SUBSTITUTE(Transactions!$B5,", ",",")&amp;","))</f>
        <v>1</v>
      </c>
      <c r="C5">
        <f>--ISNUMBER(SEARCH(","&amp;C$1&amp;",",","&amp;SUBSTITUTE(Transactions!$B5,", ",",")&amp;","))</f>
        <v>1</v>
      </c>
      <c r="D5">
        <f>--ISNUMBER(SEARCH(","&amp;D$1&amp;",",","&amp;SUBSTITUTE(Transactions!$B5,", ",",")&amp;","))</f>
        <v>0</v>
      </c>
      <c r="E5">
        <f>--ISNUMBER(SEARCH(","&amp;E$1&amp;",",","&amp;SUBSTITUTE(Transactions!$B5,", ",",")&amp;","))</f>
        <v>0</v>
      </c>
      <c r="F5">
        <f>--ISNUMBER(SEARCH(","&amp;F$1&amp;",",","&amp;SUBSTITUTE(Transactions!$B5,", ",",")&amp;","))</f>
        <v>0</v>
      </c>
      <c r="G5">
        <f>--ISNUMBER(SEARCH(","&amp;G$1&amp;",",","&amp;SUBSTITUTE(Transactions!$B5,", ",",")&amp;","))</f>
        <v>0</v>
      </c>
    </row>
    <row r="6" spans="1:7" x14ac:dyDescent="0.25">
      <c r="A6" t="s">
        <v>10</v>
      </c>
      <c r="B6">
        <f>--ISNUMBER(SEARCH(","&amp;B$1&amp;",",","&amp;SUBSTITUTE(Transactions!$B6,", ",",")&amp;","))</f>
        <v>1</v>
      </c>
      <c r="C6">
        <f>--ISNUMBER(SEARCH(","&amp;C$1&amp;",",","&amp;SUBSTITUTE(Transactions!$B6,", ",",")&amp;","))</f>
        <v>0</v>
      </c>
      <c r="D6">
        <f>--ISNUMBER(SEARCH(","&amp;D$1&amp;",",","&amp;SUBSTITUTE(Transactions!$B6,", ",",")&amp;","))</f>
        <v>1</v>
      </c>
      <c r="E6">
        <f>--ISNUMBER(SEARCH(","&amp;E$1&amp;",",","&amp;SUBSTITUTE(Transactions!$B6,", ",",")&amp;","))</f>
        <v>0</v>
      </c>
      <c r="F6">
        <f>--ISNUMBER(SEARCH(","&amp;F$1&amp;",",","&amp;SUBSTITUTE(Transactions!$B6,", ",",")&amp;","))</f>
        <v>0</v>
      </c>
      <c r="G6">
        <f>--ISNUMBER(SEARCH(","&amp;G$1&amp;",",","&amp;SUBSTITUTE(Transactions!$B6,", ",",")&amp;","))</f>
        <v>0</v>
      </c>
    </row>
    <row r="7" spans="1:7" x14ac:dyDescent="0.25">
      <c r="A7" t="s">
        <v>12</v>
      </c>
      <c r="B7">
        <f>--ISNUMBER(SEARCH(","&amp;B$1&amp;",",","&amp;SUBSTITUTE(Transactions!$B7,", ",",")&amp;","))</f>
        <v>0</v>
      </c>
      <c r="C7">
        <f>--ISNUMBER(SEARCH(","&amp;C$1&amp;",",","&amp;SUBSTITUTE(Transactions!$B7,", ",",")&amp;","))</f>
        <v>0</v>
      </c>
      <c r="D7">
        <f>--ISNUMBER(SEARCH(","&amp;D$1&amp;",",","&amp;SUBSTITUTE(Transactions!$B7,", ",",")&amp;","))</f>
        <v>0</v>
      </c>
      <c r="E7">
        <f>--ISNUMBER(SEARCH(","&amp;E$1&amp;",",","&amp;SUBSTITUTE(Transactions!$B7,", ",",")&amp;","))</f>
        <v>1</v>
      </c>
      <c r="F7">
        <f>--ISNUMBER(SEARCH(","&amp;F$1&amp;",",","&amp;SUBSTITUTE(Transactions!$B7,", ",",")&amp;","))</f>
        <v>1</v>
      </c>
      <c r="G7">
        <f>--ISNUMBER(SEARCH(","&amp;G$1&amp;",",","&amp;SUBSTITUTE(Transactions!$B7,", ",",")&amp;","))</f>
        <v>0</v>
      </c>
    </row>
    <row r="8" spans="1:7" x14ac:dyDescent="0.25">
      <c r="A8" t="s">
        <v>14</v>
      </c>
      <c r="B8">
        <f>--ISNUMBER(SEARCH(","&amp;B$1&amp;",",","&amp;SUBSTITUTE(Transactions!$B8,", ",",")&amp;","))</f>
        <v>1</v>
      </c>
      <c r="C8">
        <f>--ISNUMBER(SEARCH(","&amp;C$1&amp;",",","&amp;SUBSTITUTE(Transactions!$B8,", ",",")&amp;","))</f>
        <v>1</v>
      </c>
      <c r="D8">
        <f>--ISNUMBER(SEARCH(","&amp;D$1&amp;",",","&amp;SUBSTITUTE(Transactions!$B8,", ",",")&amp;","))</f>
        <v>1</v>
      </c>
      <c r="E8">
        <f>--ISNUMBER(SEARCH(","&amp;E$1&amp;",",","&amp;SUBSTITUTE(Transactions!$B8,", ",",")&amp;","))</f>
        <v>1</v>
      </c>
      <c r="F8">
        <f>--ISNUMBER(SEARCH(","&amp;F$1&amp;",",","&amp;SUBSTITUTE(Transactions!$B8,", ",",")&amp;","))</f>
        <v>0</v>
      </c>
      <c r="G8">
        <f>--ISNUMBER(SEARCH(","&amp;G$1&amp;",",","&amp;SUBSTITUTE(Transactions!$B8,", ",",")&amp;","))</f>
        <v>0</v>
      </c>
    </row>
    <row r="9" spans="1:7" x14ac:dyDescent="0.25">
      <c r="A9" t="s">
        <v>16</v>
      </c>
      <c r="B9">
        <f>--ISNUMBER(SEARCH(","&amp;B$1&amp;",",","&amp;SUBSTITUTE(Transactions!$B9,", ",",")&amp;","))</f>
        <v>0</v>
      </c>
      <c r="C9">
        <f>--ISNUMBER(SEARCH(","&amp;C$1&amp;",",","&amp;SUBSTITUTE(Transactions!$B9,", ",",")&amp;","))</f>
        <v>0</v>
      </c>
      <c r="D9">
        <f>--ISNUMBER(SEARCH(","&amp;D$1&amp;",",","&amp;SUBSTITUTE(Transactions!$B9,", ",",")&amp;","))</f>
        <v>0</v>
      </c>
      <c r="E9">
        <f>--ISNUMBER(SEARCH(","&amp;E$1&amp;",",","&amp;SUBSTITUTE(Transactions!$B9,", ",",")&amp;","))</f>
        <v>0</v>
      </c>
      <c r="F9">
        <f>--ISNUMBER(SEARCH(","&amp;F$1&amp;",",","&amp;SUBSTITUTE(Transactions!$B9,", ",",")&amp;","))</f>
        <v>1</v>
      </c>
      <c r="G9">
        <f>--ISNUMBER(SEARCH(","&amp;G$1&amp;",",","&amp;SUBSTITUTE(Transactions!$B9,", ",",")&amp;","))</f>
        <v>1</v>
      </c>
    </row>
    <row r="10" spans="1:7" x14ac:dyDescent="0.25">
      <c r="A10" t="s">
        <v>18</v>
      </c>
      <c r="B10">
        <f>--ISNUMBER(SEARCH(","&amp;B$1&amp;",",","&amp;SUBSTITUTE(Transactions!$B10,", ",",")&amp;","))</f>
        <v>1</v>
      </c>
      <c r="C10">
        <f>--ISNUMBER(SEARCH(","&amp;C$1&amp;",",","&amp;SUBSTITUTE(Transactions!$B10,", ",",")&amp;","))</f>
        <v>0</v>
      </c>
      <c r="D10">
        <f>--ISNUMBER(SEARCH(","&amp;D$1&amp;",",","&amp;SUBSTITUTE(Transactions!$B10,", ",",")&amp;","))</f>
        <v>0</v>
      </c>
      <c r="E10">
        <f>--ISNUMBER(SEARCH(","&amp;E$1&amp;",",","&amp;SUBSTITUTE(Transactions!$B10,", ",",")&amp;","))</f>
        <v>0</v>
      </c>
      <c r="F10">
        <f>--ISNUMBER(SEARCH(","&amp;F$1&amp;",",","&amp;SUBSTITUTE(Transactions!$B10,", ",",")&amp;","))</f>
        <v>1</v>
      </c>
      <c r="G10">
        <f>--ISNUMBER(SEARCH(","&amp;G$1&amp;",",","&amp;SUBSTITUTE(Transactions!$B10,", ",",")&amp;","))</f>
        <v>0</v>
      </c>
    </row>
    <row r="11" spans="1:7" x14ac:dyDescent="0.25">
      <c r="A11" t="s">
        <v>20</v>
      </c>
      <c r="B11">
        <f>--ISNUMBER(SEARCH(","&amp;B$1&amp;",",","&amp;SUBSTITUTE(Transactions!$B11,", ",",")&amp;","))</f>
        <v>0</v>
      </c>
      <c r="C11">
        <f>--ISNUMBER(SEARCH(","&amp;C$1&amp;",",","&amp;SUBSTITUTE(Transactions!$B11,", ",",")&amp;","))</f>
        <v>1</v>
      </c>
      <c r="D11">
        <f>--ISNUMBER(SEARCH(","&amp;D$1&amp;",",","&amp;SUBSTITUTE(Transactions!$B11,", ",",")&amp;","))</f>
        <v>0</v>
      </c>
      <c r="E11">
        <f>--ISNUMBER(SEARCH(","&amp;E$1&amp;",",","&amp;SUBSTITUTE(Transactions!$B11,", ",",")&amp;","))</f>
        <v>1</v>
      </c>
      <c r="F11">
        <f>--ISNUMBER(SEARCH(","&amp;F$1&amp;",",","&amp;SUBSTITUTE(Transactions!$B11,", ",",")&amp;","))</f>
        <v>0</v>
      </c>
      <c r="G11">
        <f>--ISNUMBER(SEARCH(","&amp;G$1&amp;",",","&amp;SUBSTITUTE(Transactions!$B11,", ",",")&amp;","))</f>
        <v>0</v>
      </c>
    </row>
    <row r="12" spans="1:7" x14ac:dyDescent="0.25">
      <c r="A12" t="s">
        <v>22</v>
      </c>
      <c r="B12">
        <f>--ISNUMBER(SEARCH(","&amp;B$1&amp;",",","&amp;SUBSTITUTE(Transactions!$B12,", ",",")&amp;","))</f>
        <v>1</v>
      </c>
      <c r="C12">
        <f>--ISNUMBER(SEARCH(","&amp;C$1&amp;",",","&amp;SUBSTITUTE(Transactions!$B12,", ",",")&amp;","))</f>
        <v>0</v>
      </c>
      <c r="D12">
        <f>--ISNUMBER(SEARCH(","&amp;D$1&amp;",",","&amp;SUBSTITUTE(Transactions!$B12,", ",",")&amp;","))</f>
        <v>0</v>
      </c>
      <c r="E12">
        <f>--ISNUMBER(SEARCH(","&amp;E$1&amp;",",","&amp;SUBSTITUTE(Transactions!$B12,", ",",")&amp;","))</f>
        <v>0</v>
      </c>
      <c r="F12">
        <f>--ISNUMBER(SEARCH(","&amp;F$1&amp;",",","&amp;SUBSTITUTE(Transactions!$B12,", ",",")&amp;","))</f>
        <v>0</v>
      </c>
      <c r="G12">
        <f>--ISNUMBER(SEARCH(","&amp;G$1&amp;",",","&amp;SUBSTITUTE(Transactions!$B12,", ",",")&amp;","))</f>
        <v>1</v>
      </c>
    </row>
    <row r="13" spans="1:7" x14ac:dyDescent="0.25">
      <c r="A13" t="s">
        <v>24</v>
      </c>
      <c r="B13">
        <f>--ISNUMBER(SEARCH(","&amp;B$1&amp;",",","&amp;SUBSTITUTE(Transactions!$B13,", ",",")&amp;","))</f>
        <v>0</v>
      </c>
      <c r="C13">
        <f>--ISNUMBER(SEARCH(","&amp;C$1&amp;",",","&amp;SUBSTITUTE(Transactions!$B13,", ",",")&amp;","))</f>
        <v>0</v>
      </c>
      <c r="D13">
        <f>--ISNUMBER(SEARCH(","&amp;D$1&amp;",",","&amp;SUBSTITUTE(Transactions!$B13,", ",",")&amp;","))</f>
        <v>1</v>
      </c>
      <c r="E13">
        <f>--ISNUMBER(SEARCH(","&amp;E$1&amp;",",","&amp;SUBSTITUTE(Transactions!$B13,", ",",")&amp;","))</f>
        <v>1</v>
      </c>
      <c r="F13">
        <f>--ISNUMBER(SEARCH(","&amp;F$1&amp;",",","&amp;SUBSTITUTE(Transactions!$B13,", ",",")&amp;","))</f>
        <v>0</v>
      </c>
      <c r="G13">
        <f>--ISNUMBER(SEARCH(","&amp;G$1&amp;",",","&amp;SUBSTITUTE(Transactions!$B13,", ",",")&amp;","))</f>
        <v>0</v>
      </c>
    </row>
    <row r="14" spans="1:7" x14ac:dyDescent="0.25">
      <c r="A14" t="s">
        <v>26</v>
      </c>
      <c r="B14">
        <f>--ISNUMBER(SEARCH(","&amp;B$1&amp;",",","&amp;SUBSTITUTE(Transactions!$B14,", ",",")&amp;","))</f>
        <v>1</v>
      </c>
      <c r="C14">
        <f>--ISNUMBER(SEARCH(","&amp;C$1&amp;",",","&amp;SUBSTITUTE(Transactions!$B14,", ",",")&amp;","))</f>
        <v>1</v>
      </c>
      <c r="D14">
        <f>--ISNUMBER(SEARCH(","&amp;D$1&amp;",",","&amp;SUBSTITUTE(Transactions!$B14,", ",",")&amp;","))</f>
        <v>0</v>
      </c>
      <c r="E14">
        <f>--ISNUMBER(SEARCH(","&amp;E$1&amp;",",","&amp;SUBSTITUTE(Transactions!$B14,", ",",")&amp;","))</f>
        <v>0</v>
      </c>
      <c r="F14">
        <f>--ISNUMBER(SEARCH(","&amp;F$1&amp;",",","&amp;SUBSTITUTE(Transactions!$B14,", ",",")&amp;","))</f>
        <v>1</v>
      </c>
      <c r="G14">
        <f>--ISNUMBER(SEARCH(","&amp;G$1&amp;",",","&amp;SUBSTITUTE(Transactions!$B14,", ",",")&amp;","))</f>
        <v>0</v>
      </c>
    </row>
    <row r="15" spans="1:7" x14ac:dyDescent="0.25">
      <c r="A15" t="s">
        <v>28</v>
      </c>
      <c r="B15">
        <f>--ISNUMBER(SEARCH(","&amp;B$1&amp;",",","&amp;SUBSTITUTE(Transactions!$B15,", ",",")&amp;","))</f>
        <v>0</v>
      </c>
      <c r="C15">
        <f>--ISNUMBER(SEARCH(","&amp;C$1&amp;",",","&amp;SUBSTITUTE(Transactions!$B15,", ",",")&amp;","))</f>
        <v>0</v>
      </c>
      <c r="D15">
        <f>--ISNUMBER(SEARCH(","&amp;D$1&amp;",",","&amp;SUBSTITUTE(Transactions!$B15,", ",",")&amp;","))</f>
        <v>0</v>
      </c>
      <c r="E15">
        <f>--ISNUMBER(SEARCH(","&amp;E$1&amp;",",","&amp;SUBSTITUTE(Transactions!$B15,", ",",")&amp;","))</f>
        <v>0</v>
      </c>
      <c r="F15">
        <f>--ISNUMBER(SEARCH(","&amp;F$1&amp;",",","&amp;SUBSTITUTE(Transactions!$B15,", ",",")&amp;","))</f>
        <v>1</v>
      </c>
      <c r="G15">
        <f>--ISNUMBER(SEARCH(","&amp;G$1&amp;",",","&amp;SUBSTITUTE(Transactions!$B15,", ",",")&amp;","))</f>
        <v>1</v>
      </c>
    </row>
    <row r="16" spans="1:7" x14ac:dyDescent="0.25">
      <c r="A16" t="s">
        <v>30</v>
      </c>
      <c r="B16">
        <f>--ISNUMBER(SEARCH(","&amp;B$1&amp;",",","&amp;SUBSTITUTE(Transactions!$B16,", ",",")&amp;","))</f>
        <v>1</v>
      </c>
      <c r="C16">
        <f>--ISNUMBER(SEARCH(","&amp;C$1&amp;",",","&amp;SUBSTITUTE(Transactions!$B16,", ",",")&amp;","))</f>
        <v>0</v>
      </c>
      <c r="D16">
        <f>--ISNUMBER(SEARCH(","&amp;D$1&amp;",",","&amp;SUBSTITUTE(Transactions!$B16,", ",",")&amp;","))</f>
        <v>1</v>
      </c>
      <c r="E16">
        <f>--ISNUMBER(SEARCH(","&amp;E$1&amp;",",","&amp;SUBSTITUTE(Transactions!$B16,", ",",")&amp;","))</f>
        <v>1</v>
      </c>
      <c r="F16">
        <f>--ISNUMBER(SEARCH(","&amp;F$1&amp;",",","&amp;SUBSTITUTE(Transactions!$B16,", ",",")&amp;","))</f>
        <v>0</v>
      </c>
      <c r="G16">
        <f>--ISNUMBER(SEARCH(","&amp;G$1&amp;",",","&amp;SUBSTITUTE(Transactions!$B16,", ",",")&amp;","))</f>
        <v>0</v>
      </c>
    </row>
    <row r="18" spans="1:7" s="23" customFormat="1" x14ac:dyDescent="0.25">
      <c r="A18" s="24" t="s">
        <v>73</v>
      </c>
      <c r="B18" s="24">
        <f>SUM(B2:B16)</f>
        <v>9</v>
      </c>
      <c r="C18" s="24">
        <f t="shared" ref="C18:G18" si="0">SUM(C2:C16)</f>
        <v>6</v>
      </c>
      <c r="D18" s="24">
        <f t="shared" si="0"/>
        <v>6</v>
      </c>
      <c r="E18" s="24">
        <f t="shared" si="0"/>
        <v>7</v>
      </c>
      <c r="F18" s="24">
        <f t="shared" si="0"/>
        <v>5</v>
      </c>
      <c r="G18" s="24">
        <f t="shared" si="0"/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1F3B-76C7-4939-86B3-582BC5C791A0}">
  <dimension ref="A1:C10"/>
  <sheetViews>
    <sheetView workbookViewId="0">
      <selection activeCell="C14" sqref="C14"/>
    </sheetView>
  </sheetViews>
  <sheetFormatPr defaultRowHeight="15" x14ac:dyDescent="0.25"/>
  <cols>
    <col min="2" max="2" width="18.7109375" customWidth="1"/>
  </cols>
  <sheetData>
    <row r="1" spans="1:3" ht="18.75" x14ac:dyDescent="0.25">
      <c r="A1" s="5" t="s">
        <v>38</v>
      </c>
      <c r="B1" s="6"/>
      <c r="C1" s="6"/>
    </row>
    <row r="3" spans="1:3" x14ac:dyDescent="0.25">
      <c r="A3" s="1" t="s">
        <v>39</v>
      </c>
      <c r="B3" s="2" t="s">
        <v>40</v>
      </c>
    </row>
    <row r="4" spans="1:3" x14ac:dyDescent="0.25">
      <c r="A4" s="3" t="s">
        <v>41</v>
      </c>
      <c r="B4" s="4" t="s">
        <v>47</v>
      </c>
    </row>
    <row r="5" spans="1:3" x14ac:dyDescent="0.25">
      <c r="A5" s="3" t="s">
        <v>42</v>
      </c>
      <c r="B5" s="4" t="s">
        <v>47</v>
      </c>
    </row>
    <row r="6" spans="1:3" x14ac:dyDescent="0.25">
      <c r="A6" s="3" t="s">
        <v>43</v>
      </c>
      <c r="B6" s="4" t="s">
        <v>47</v>
      </c>
    </row>
    <row r="7" spans="1:3" x14ac:dyDescent="0.25">
      <c r="A7" s="3" t="s">
        <v>44</v>
      </c>
      <c r="B7" s="4" t="s">
        <v>47</v>
      </c>
    </row>
    <row r="8" spans="1:3" x14ac:dyDescent="0.25">
      <c r="A8" s="3" t="s">
        <v>45</v>
      </c>
      <c r="B8" s="4" t="s">
        <v>47</v>
      </c>
    </row>
    <row r="9" spans="1:3" x14ac:dyDescent="0.25">
      <c r="A9" s="3" t="s">
        <v>46</v>
      </c>
      <c r="B9" s="4" t="s">
        <v>47</v>
      </c>
    </row>
    <row r="10" spans="1:3" x14ac:dyDescent="0.25">
      <c r="A10" s="3"/>
      <c r="B10" s="4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0EC1-E407-4764-AA7D-A1E7D6588291}">
  <dimension ref="A2:K31"/>
  <sheetViews>
    <sheetView tabSelected="1" workbookViewId="0">
      <selection activeCell="E6" sqref="E6"/>
    </sheetView>
  </sheetViews>
  <sheetFormatPr defaultRowHeight="15" x14ac:dyDescent="0.25"/>
  <cols>
    <col min="2" max="2" width="14.85546875" customWidth="1"/>
    <col min="4" max="4" width="20.42578125" customWidth="1"/>
    <col min="5" max="5" width="14.5703125" customWidth="1"/>
    <col min="7" max="7" width="14.5703125" customWidth="1"/>
    <col min="8" max="8" width="12.7109375" customWidth="1"/>
    <col min="9" max="9" width="15.28515625" customWidth="1"/>
    <col min="10" max="10" width="14" customWidth="1"/>
    <col min="11" max="11" width="16.42578125" customWidth="1"/>
  </cols>
  <sheetData>
    <row r="2" spans="1:11" ht="18.75" x14ac:dyDescent="0.25">
      <c r="A2" s="5" t="s">
        <v>38</v>
      </c>
      <c r="B2" s="6"/>
      <c r="C2" s="6"/>
      <c r="G2" s="15" t="s">
        <v>54</v>
      </c>
    </row>
    <row r="3" spans="1:11" x14ac:dyDescent="0.25">
      <c r="D3" s="7" t="s">
        <v>48</v>
      </c>
      <c r="G3" s="16" t="s">
        <v>55</v>
      </c>
      <c r="H3" s="17" t="s">
        <v>56</v>
      </c>
    </row>
    <row r="4" spans="1:11" x14ac:dyDescent="0.25">
      <c r="A4" s="1" t="s">
        <v>39</v>
      </c>
      <c r="B4" s="2" t="s">
        <v>74</v>
      </c>
      <c r="G4" s="16" t="s">
        <v>57</v>
      </c>
      <c r="H4" s="17" t="s">
        <v>58</v>
      </c>
    </row>
    <row r="5" spans="1:11" x14ac:dyDescent="0.25">
      <c r="A5" s="3" t="s">
        <v>41</v>
      </c>
      <c r="B5" s="4">
        <v>0</v>
      </c>
      <c r="D5" s="8" t="s">
        <v>49</v>
      </c>
      <c r="E5" s="9">
        <f>SUM(B5:B10)</f>
        <v>0</v>
      </c>
      <c r="G5" s="16" t="s">
        <v>59</v>
      </c>
      <c r="H5" s="17" t="s">
        <v>60</v>
      </c>
    </row>
    <row r="6" spans="1:11" x14ac:dyDescent="0.25">
      <c r="A6" s="3" t="s">
        <v>42</v>
      </c>
      <c r="B6" s="4">
        <v>0</v>
      </c>
      <c r="D6" s="10" t="s">
        <v>50</v>
      </c>
      <c r="E6" s="11">
        <v>2</v>
      </c>
      <c r="G6" s="16" t="s">
        <v>61</v>
      </c>
      <c r="H6" s="17" t="s">
        <v>62</v>
      </c>
    </row>
    <row r="7" spans="1:11" x14ac:dyDescent="0.25">
      <c r="A7" s="3" t="s">
        <v>43</v>
      </c>
      <c r="B7" s="4">
        <v>0</v>
      </c>
      <c r="D7" s="10" t="s">
        <v>51</v>
      </c>
      <c r="E7" s="11">
        <v>3</v>
      </c>
      <c r="G7" s="16" t="s">
        <v>63</v>
      </c>
      <c r="H7" s="17" t="s">
        <v>64</v>
      </c>
    </row>
    <row r="8" spans="1:11" x14ac:dyDescent="0.25">
      <c r="A8" s="3" t="s">
        <v>44</v>
      </c>
      <c r="B8" s="4">
        <v>0</v>
      </c>
      <c r="D8" s="12" t="s">
        <v>52</v>
      </c>
      <c r="E8" s="13">
        <f>SUM(K18:K32)</f>
        <v>0</v>
      </c>
      <c r="G8" s="16" t="s">
        <v>65</v>
      </c>
      <c r="H8" s="17" t="s">
        <v>66</v>
      </c>
    </row>
    <row r="9" spans="1:11" x14ac:dyDescent="0.25">
      <c r="A9" s="3" t="s">
        <v>45</v>
      </c>
      <c r="B9" s="4">
        <v>0</v>
      </c>
      <c r="D9" s="12" t="s">
        <v>53</v>
      </c>
      <c r="E9" s="14">
        <f>IF(COUNTA(A18:A32)=0,0,E8/COUNTA(A18:A32))</f>
        <v>0</v>
      </c>
    </row>
    <row r="10" spans="1:11" x14ac:dyDescent="0.25">
      <c r="A10" s="3" t="s">
        <v>46</v>
      </c>
      <c r="B10" s="4">
        <v>0</v>
      </c>
    </row>
    <row r="11" spans="1:11" x14ac:dyDescent="0.25">
      <c r="A11" s="3"/>
      <c r="B11" s="4"/>
    </row>
    <row r="15" spans="1:11" x14ac:dyDescent="0.25">
      <c r="A15" s="18" t="s">
        <v>67</v>
      </c>
    </row>
    <row r="16" spans="1:11" x14ac:dyDescent="0.25">
      <c r="A16" s="2" t="s">
        <v>68</v>
      </c>
      <c r="B16" s="2" t="s">
        <v>41</v>
      </c>
      <c r="C16" s="2" t="s">
        <v>42</v>
      </c>
      <c r="D16" s="2" t="s">
        <v>43</v>
      </c>
      <c r="E16" s="2" t="s">
        <v>44</v>
      </c>
      <c r="F16" s="2" t="s">
        <v>45</v>
      </c>
      <c r="G16" s="2" t="s">
        <v>46</v>
      </c>
      <c r="H16" s="2"/>
      <c r="I16" s="1" t="s">
        <v>69</v>
      </c>
      <c r="J16" s="1" t="s">
        <v>70</v>
      </c>
      <c r="K16" s="1" t="s">
        <v>71</v>
      </c>
    </row>
    <row r="17" spans="1:11" x14ac:dyDescent="0.25">
      <c r="A17" s="17"/>
      <c r="B17" s="19"/>
      <c r="C17" s="19"/>
      <c r="D17" s="19"/>
      <c r="E17" s="19"/>
      <c r="F17" s="19"/>
      <c r="G17" s="19"/>
      <c r="H17" s="19"/>
      <c r="I17" s="20"/>
      <c r="J17" s="20"/>
      <c r="K17" s="21"/>
    </row>
    <row r="18" spans="1:11" x14ac:dyDescent="0.25">
      <c r="A18" s="17" t="str">
        <f>[1]BinaryMatrix!A4</f>
        <v>T001</v>
      </c>
      <c r="B18" s="19">
        <f>[2]Binary_Matrix!B2</f>
        <v>1</v>
      </c>
      <c r="C18" s="19">
        <f>[2]Binary_Matrix!C2</f>
        <v>1</v>
      </c>
      <c r="D18" s="19">
        <f>[2]Binary_Matrix!D2</f>
        <v>1</v>
      </c>
      <c r="E18" s="19">
        <f>[2]Binary_Matrix!E2</f>
        <v>0</v>
      </c>
      <c r="F18" s="19">
        <f>[2]Binary_Matrix!F2</f>
        <v>0</v>
      </c>
      <c r="G18" s="19">
        <f>[2]Binary_Matrix!G2</f>
        <v>0</v>
      </c>
      <c r="H18" s="19"/>
      <c r="I18" s="20">
        <f>B18*$B$5+C18*$B$6+D18*$B$7+E18*$B$8+F18*$B$9+G18*$B$10</f>
        <v>0</v>
      </c>
      <c r="J18" s="20">
        <f t="shared" ref="J17:J31" si="0">$E$5</f>
        <v>0</v>
      </c>
      <c r="K18" s="21">
        <f>IF($E$5=0,0,IF(I18=J18,1,0))</f>
        <v>0</v>
      </c>
    </row>
    <row r="19" spans="1:11" x14ac:dyDescent="0.25">
      <c r="A19" s="17" t="str">
        <f>[1]BinaryMatrix!A5</f>
        <v>T002</v>
      </c>
      <c r="B19" s="19">
        <f>[2]Binary_Matrix!B3</f>
        <v>1</v>
      </c>
      <c r="C19" s="19">
        <f>[2]Binary_Matrix!C3</f>
        <v>0</v>
      </c>
      <c r="D19" s="19">
        <f>[2]Binary_Matrix!D3</f>
        <v>0</v>
      </c>
      <c r="E19" s="19">
        <f>[2]Binary_Matrix!E3</f>
        <v>1</v>
      </c>
      <c r="F19" s="19">
        <f>[2]Binary_Matrix!F3</f>
        <v>0</v>
      </c>
      <c r="G19" s="19">
        <f>[2]Binary_Matrix!G3</f>
        <v>0</v>
      </c>
      <c r="H19" s="19"/>
      <c r="I19" s="20">
        <f t="shared" ref="I17:I31" si="1">B19*$B$5+C19*$B$6+D19*$B$7+E19*$B$8+F19*$B$9+G19*$B$10+H19*$B$11</f>
        <v>0</v>
      </c>
      <c r="J19" s="20">
        <f t="shared" si="0"/>
        <v>0</v>
      </c>
      <c r="K19" s="21">
        <f t="shared" ref="K19:K31" si="2">IF($E$5=0,0,IF(I19=J19,1,0))</f>
        <v>0</v>
      </c>
    </row>
    <row r="20" spans="1:11" x14ac:dyDescent="0.25">
      <c r="A20" s="17" t="str">
        <f>[1]BinaryMatrix!A6</f>
        <v>T003</v>
      </c>
      <c r="B20" s="19">
        <f>[2]Binary_Matrix!B4</f>
        <v>0</v>
      </c>
      <c r="C20" s="19">
        <f>[2]Binary_Matrix!C4</f>
        <v>1</v>
      </c>
      <c r="D20" s="19">
        <f>[2]Binary_Matrix!D4</f>
        <v>1</v>
      </c>
      <c r="E20" s="19">
        <f>[2]Binary_Matrix!E4</f>
        <v>1</v>
      </c>
      <c r="F20" s="19">
        <f>[2]Binary_Matrix!F4</f>
        <v>0</v>
      </c>
      <c r="G20" s="19">
        <f>[2]Binary_Matrix!G4</f>
        <v>0</v>
      </c>
      <c r="H20" s="19"/>
      <c r="I20" s="20">
        <f t="shared" si="1"/>
        <v>0</v>
      </c>
      <c r="J20" s="20">
        <f t="shared" si="0"/>
        <v>0</v>
      </c>
      <c r="K20" s="21">
        <f t="shared" si="2"/>
        <v>0</v>
      </c>
    </row>
    <row r="21" spans="1:11" x14ac:dyDescent="0.25">
      <c r="A21" s="17" t="str">
        <f>[1]BinaryMatrix!A7</f>
        <v>T004</v>
      </c>
      <c r="B21" s="19">
        <f>[2]Binary_Matrix!B5</f>
        <v>1</v>
      </c>
      <c r="C21" s="19">
        <f>[2]Binary_Matrix!C5</f>
        <v>1</v>
      </c>
      <c r="D21" s="19">
        <f>[2]Binary_Matrix!D5</f>
        <v>0</v>
      </c>
      <c r="E21" s="19">
        <f>[2]Binary_Matrix!E5</f>
        <v>0</v>
      </c>
      <c r="F21" s="19">
        <f>[2]Binary_Matrix!F5</f>
        <v>0</v>
      </c>
      <c r="G21" s="19">
        <f>[2]Binary_Matrix!G5</f>
        <v>0</v>
      </c>
      <c r="H21" s="19"/>
      <c r="I21" s="20">
        <f t="shared" si="1"/>
        <v>0</v>
      </c>
      <c r="J21" s="20">
        <f t="shared" si="0"/>
        <v>0</v>
      </c>
      <c r="K21" s="21">
        <f t="shared" si="2"/>
        <v>0</v>
      </c>
    </row>
    <row r="22" spans="1:11" x14ac:dyDescent="0.25">
      <c r="A22" s="17" t="str">
        <f>[1]BinaryMatrix!A8</f>
        <v>T005</v>
      </c>
      <c r="B22" s="19">
        <f>[2]Binary_Matrix!B6</f>
        <v>1</v>
      </c>
      <c r="C22" s="19">
        <f>[2]Binary_Matrix!C6</f>
        <v>0</v>
      </c>
      <c r="D22" s="19">
        <f>[2]Binary_Matrix!D6</f>
        <v>1</v>
      </c>
      <c r="E22" s="19">
        <f>[2]Binary_Matrix!E6</f>
        <v>0</v>
      </c>
      <c r="F22" s="19">
        <f>[2]Binary_Matrix!F6</f>
        <v>0</v>
      </c>
      <c r="G22" s="19">
        <f>[2]Binary_Matrix!G6</f>
        <v>0</v>
      </c>
      <c r="H22" s="19"/>
      <c r="I22" s="20">
        <f t="shared" si="1"/>
        <v>0</v>
      </c>
      <c r="J22" s="20">
        <f t="shared" si="0"/>
        <v>0</v>
      </c>
      <c r="K22" s="21">
        <f t="shared" si="2"/>
        <v>0</v>
      </c>
    </row>
    <row r="23" spans="1:11" x14ac:dyDescent="0.25">
      <c r="A23" s="17" t="str">
        <f>[1]BinaryMatrix!A9</f>
        <v>T006</v>
      </c>
      <c r="B23" s="19">
        <f>[2]Binary_Matrix!B7</f>
        <v>0</v>
      </c>
      <c r="C23" s="19">
        <f>[2]Binary_Matrix!C7</f>
        <v>0</v>
      </c>
      <c r="D23" s="19">
        <f>[2]Binary_Matrix!D7</f>
        <v>0</v>
      </c>
      <c r="E23" s="19">
        <f>[2]Binary_Matrix!E7</f>
        <v>1</v>
      </c>
      <c r="F23" s="19">
        <f>[2]Binary_Matrix!F7</f>
        <v>1</v>
      </c>
      <c r="G23" s="19">
        <f>[2]Binary_Matrix!G7</f>
        <v>0</v>
      </c>
      <c r="H23" s="19"/>
      <c r="I23" s="20">
        <f t="shared" si="1"/>
        <v>0</v>
      </c>
      <c r="J23" s="20">
        <f t="shared" si="0"/>
        <v>0</v>
      </c>
      <c r="K23" s="21">
        <f t="shared" si="2"/>
        <v>0</v>
      </c>
    </row>
    <row r="24" spans="1:11" x14ac:dyDescent="0.25">
      <c r="A24" s="17" t="str">
        <f>[1]BinaryMatrix!A10</f>
        <v>T007</v>
      </c>
      <c r="B24" s="19">
        <f>[2]Binary_Matrix!B8</f>
        <v>1</v>
      </c>
      <c r="C24" s="19">
        <f>[2]Binary_Matrix!C8</f>
        <v>1</v>
      </c>
      <c r="D24" s="19">
        <f>[2]Binary_Matrix!D8</f>
        <v>1</v>
      </c>
      <c r="E24" s="19">
        <f>[2]Binary_Matrix!E8</f>
        <v>1</v>
      </c>
      <c r="F24" s="19">
        <f>[2]Binary_Matrix!F8</f>
        <v>0</v>
      </c>
      <c r="G24" s="19">
        <f>[2]Binary_Matrix!G8</f>
        <v>0</v>
      </c>
      <c r="H24" s="19"/>
      <c r="I24" s="20">
        <f t="shared" si="1"/>
        <v>0</v>
      </c>
      <c r="J24" s="20">
        <f t="shared" si="0"/>
        <v>0</v>
      </c>
      <c r="K24" s="21">
        <f t="shared" si="2"/>
        <v>0</v>
      </c>
    </row>
    <row r="25" spans="1:11" x14ac:dyDescent="0.25">
      <c r="A25" s="17" t="str">
        <f>[1]BinaryMatrix!A11</f>
        <v>T008</v>
      </c>
      <c r="B25" s="19">
        <f>[2]Binary_Matrix!B9</f>
        <v>0</v>
      </c>
      <c r="C25" s="19">
        <f>[2]Binary_Matrix!C9</f>
        <v>0</v>
      </c>
      <c r="D25" s="19">
        <f>[2]Binary_Matrix!D9</f>
        <v>0</v>
      </c>
      <c r="E25" s="19">
        <f>[2]Binary_Matrix!E9</f>
        <v>0</v>
      </c>
      <c r="F25" s="19">
        <f>[2]Binary_Matrix!F9</f>
        <v>1</v>
      </c>
      <c r="G25" s="19">
        <f>[2]Binary_Matrix!G9</f>
        <v>1</v>
      </c>
      <c r="H25" s="19"/>
      <c r="I25" s="20">
        <f t="shared" si="1"/>
        <v>0</v>
      </c>
      <c r="J25" s="20">
        <f t="shared" si="0"/>
        <v>0</v>
      </c>
      <c r="K25" s="21">
        <f t="shared" si="2"/>
        <v>0</v>
      </c>
    </row>
    <row r="26" spans="1:11" x14ac:dyDescent="0.25">
      <c r="A26" s="17" t="str">
        <f>[1]BinaryMatrix!A12</f>
        <v>T009</v>
      </c>
      <c r="B26" s="19">
        <f>[2]Binary_Matrix!B10</f>
        <v>1</v>
      </c>
      <c r="C26" s="19">
        <f>[2]Binary_Matrix!C10</f>
        <v>0</v>
      </c>
      <c r="D26" s="19">
        <f>[2]Binary_Matrix!D10</f>
        <v>0</v>
      </c>
      <c r="E26" s="19">
        <f>[2]Binary_Matrix!E10</f>
        <v>0</v>
      </c>
      <c r="F26" s="19">
        <f>[2]Binary_Matrix!F10</f>
        <v>1</v>
      </c>
      <c r="G26" s="19">
        <f>[2]Binary_Matrix!G10</f>
        <v>0</v>
      </c>
      <c r="H26" s="19"/>
      <c r="I26" s="20">
        <f t="shared" si="1"/>
        <v>0</v>
      </c>
      <c r="J26" s="20">
        <f t="shared" si="0"/>
        <v>0</v>
      </c>
      <c r="K26" s="21">
        <f t="shared" si="2"/>
        <v>0</v>
      </c>
    </row>
    <row r="27" spans="1:11" x14ac:dyDescent="0.25">
      <c r="A27" s="17" t="str">
        <f>[1]BinaryMatrix!A13</f>
        <v>T010</v>
      </c>
      <c r="B27" s="19">
        <f>[2]Binary_Matrix!B11</f>
        <v>0</v>
      </c>
      <c r="C27" s="19">
        <f>[2]Binary_Matrix!C11</f>
        <v>1</v>
      </c>
      <c r="D27" s="19">
        <f>[2]Binary_Matrix!D11</f>
        <v>0</v>
      </c>
      <c r="E27" s="19">
        <f>[2]Binary_Matrix!E11</f>
        <v>1</v>
      </c>
      <c r="F27" s="19">
        <f>[2]Binary_Matrix!F11</f>
        <v>0</v>
      </c>
      <c r="G27" s="19">
        <f>[2]Binary_Matrix!G11</f>
        <v>0</v>
      </c>
      <c r="H27" s="19"/>
      <c r="I27" s="20">
        <f t="shared" si="1"/>
        <v>0</v>
      </c>
      <c r="J27" s="20">
        <f t="shared" si="0"/>
        <v>0</v>
      </c>
      <c r="K27" s="21">
        <f t="shared" si="2"/>
        <v>0</v>
      </c>
    </row>
    <row r="28" spans="1:11" x14ac:dyDescent="0.25">
      <c r="A28" s="17" t="str">
        <f>[1]BinaryMatrix!A14</f>
        <v>T011</v>
      </c>
      <c r="B28" s="19">
        <f>[2]Binary_Matrix!B12</f>
        <v>1</v>
      </c>
      <c r="C28" s="19">
        <f>[2]Binary_Matrix!C12</f>
        <v>0</v>
      </c>
      <c r="D28" s="19">
        <f>[2]Binary_Matrix!D12</f>
        <v>0</v>
      </c>
      <c r="E28" s="19">
        <f>[2]Binary_Matrix!E12</f>
        <v>0</v>
      </c>
      <c r="F28" s="19">
        <f>[2]Binary_Matrix!F12</f>
        <v>0</v>
      </c>
      <c r="G28" s="19">
        <f>[2]Binary_Matrix!G12</f>
        <v>1</v>
      </c>
      <c r="H28" s="19"/>
      <c r="I28" s="20">
        <f t="shared" si="1"/>
        <v>0</v>
      </c>
      <c r="J28" s="20">
        <f t="shared" si="0"/>
        <v>0</v>
      </c>
      <c r="K28" s="21">
        <f t="shared" si="2"/>
        <v>0</v>
      </c>
    </row>
    <row r="29" spans="1:11" x14ac:dyDescent="0.25">
      <c r="A29" s="17" t="str">
        <f>[1]BinaryMatrix!A15</f>
        <v>T012</v>
      </c>
      <c r="B29" s="19">
        <f>[2]Binary_Matrix!B13</f>
        <v>0</v>
      </c>
      <c r="C29" s="19">
        <f>[2]Binary_Matrix!C13</f>
        <v>0</v>
      </c>
      <c r="D29" s="19">
        <f>[2]Binary_Matrix!D13</f>
        <v>1</v>
      </c>
      <c r="E29" s="19">
        <f>[2]Binary_Matrix!E13</f>
        <v>1</v>
      </c>
      <c r="F29" s="19">
        <f>[2]Binary_Matrix!F13</f>
        <v>0</v>
      </c>
      <c r="G29" s="19">
        <f>[2]Binary_Matrix!G13</f>
        <v>0</v>
      </c>
      <c r="H29" s="19"/>
      <c r="I29" s="20">
        <f t="shared" si="1"/>
        <v>0</v>
      </c>
      <c r="J29" s="20">
        <f t="shared" si="0"/>
        <v>0</v>
      </c>
      <c r="K29" s="21">
        <f t="shared" si="2"/>
        <v>0</v>
      </c>
    </row>
    <row r="30" spans="1:11" x14ac:dyDescent="0.25">
      <c r="A30" s="17" t="str">
        <f>[1]BinaryMatrix!A16</f>
        <v>T013</v>
      </c>
      <c r="B30" s="19">
        <f>[2]Binary_Matrix!B14</f>
        <v>1</v>
      </c>
      <c r="C30" s="19">
        <f>[2]Binary_Matrix!C14</f>
        <v>1</v>
      </c>
      <c r="D30" s="19">
        <f>[2]Binary_Matrix!D14</f>
        <v>0</v>
      </c>
      <c r="E30" s="19">
        <f>[2]Binary_Matrix!E14</f>
        <v>0</v>
      </c>
      <c r="F30" s="19">
        <f>[2]Binary_Matrix!F14</f>
        <v>1</v>
      </c>
      <c r="G30" s="19">
        <f>[2]Binary_Matrix!G14</f>
        <v>0</v>
      </c>
      <c r="H30" s="19"/>
      <c r="I30" s="20">
        <f t="shared" si="1"/>
        <v>0</v>
      </c>
      <c r="J30" s="20">
        <f t="shared" si="0"/>
        <v>0</v>
      </c>
      <c r="K30" s="21">
        <f t="shared" si="2"/>
        <v>0</v>
      </c>
    </row>
    <row r="31" spans="1:11" x14ac:dyDescent="0.25">
      <c r="A31" s="17" t="str">
        <f>[1]BinaryMatrix!A17</f>
        <v>T014</v>
      </c>
      <c r="B31" s="19">
        <f>[2]Binary_Matrix!B15</f>
        <v>0</v>
      </c>
      <c r="C31" s="19">
        <f>[2]Binary_Matrix!C15</f>
        <v>0</v>
      </c>
      <c r="D31" s="19">
        <f>[2]Binary_Matrix!D15</f>
        <v>0</v>
      </c>
      <c r="E31" s="19">
        <f>[2]Binary_Matrix!E15</f>
        <v>0</v>
      </c>
      <c r="F31" s="19">
        <f>[2]Binary_Matrix!F15</f>
        <v>1</v>
      </c>
      <c r="G31" s="19">
        <f>[2]Binary_Matrix!G15</f>
        <v>1</v>
      </c>
      <c r="H31" s="19"/>
      <c r="I31" s="20">
        <f t="shared" si="1"/>
        <v>0</v>
      </c>
      <c r="J31" s="20">
        <f t="shared" si="0"/>
        <v>0</v>
      </c>
      <c r="K31" s="21">
        <f t="shared" si="2"/>
        <v>0</v>
      </c>
    </row>
  </sheetData>
  <mergeCells count="1">
    <mergeCell ref="A2:C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Transactions</vt:lpstr>
      <vt:lpstr>Binary_Matrix</vt:lpstr>
      <vt:lpstr>items</vt:lpstr>
      <vt:lpstr>Solver_model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1st laba_39</cp:lastModifiedBy>
  <dcterms:created xsi:type="dcterms:W3CDTF">2026-04-18T06:08:31Z</dcterms:created>
  <dcterms:modified xsi:type="dcterms:W3CDTF">2026-04-18T07:52:40Z</dcterms:modified>
</cp:coreProperties>
</file>