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-102_15\Downloads\"/>
    </mc:Choice>
  </mc:AlternateContent>
  <xr:revisionPtr revIDLastSave="0" documentId="13_ncr:1_{8AB1E58F-5D7A-42C7-BC3E-832B72A893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  <sheet name="Tabl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3" i="2"/>
  <c r="H4" i="2"/>
  <c r="H2" i="2"/>
  <c r="D6" i="2"/>
  <c r="D7" i="2" s="1"/>
  <c r="D4" i="2"/>
  <c r="D5" i="2" s="1"/>
  <c r="E5" i="2" s="1"/>
  <c r="G5" i="2" s="1"/>
  <c r="D3" i="2"/>
  <c r="E3" i="2" s="1"/>
  <c r="G4" i="2"/>
  <c r="G6" i="2"/>
  <c r="G2" i="2"/>
  <c r="F2" i="2"/>
  <c r="E6" i="2"/>
  <c r="E4" i="2"/>
  <c r="E2" i="2"/>
  <c r="E7" i="2" l="1"/>
  <c r="G7" i="2" s="1"/>
  <c r="G3" i="2"/>
  <c r="F3" i="2"/>
  <c r="F4" i="2" s="1"/>
  <c r="F5" i="2" s="1"/>
  <c r="F6" i="2" s="1"/>
  <c r="F7" i="2" s="1"/>
  <c r="D8" i="2" l="1"/>
  <c r="E8" i="2" l="1"/>
  <c r="D9" i="2"/>
  <c r="E9" i="2" l="1"/>
  <c r="G9" i="2" s="1"/>
  <c r="G8" i="2"/>
  <c r="F8" i="2"/>
  <c r="F9" i="2" s="1"/>
  <c r="D10" i="2" l="1"/>
  <c r="E10" i="2" l="1"/>
  <c r="G10" i="2" l="1"/>
  <c r="F10" i="2"/>
  <c r="D11" i="2"/>
  <c r="E11" i="2" l="1"/>
  <c r="G11" i="2" s="1"/>
  <c r="F11" i="2" l="1"/>
  <c r="D12" i="2"/>
  <c r="E12" i="2" l="1"/>
  <c r="G12" i="2" s="1"/>
  <c r="D13" i="2"/>
  <c r="F12" i="2"/>
  <c r="E13" i="2" l="1"/>
  <c r="G13" i="2" s="1"/>
  <c r="F13" i="2" l="1"/>
  <c r="D14" i="2"/>
  <c r="E14" i="2" l="1"/>
  <c r="G14" i="2" s="1"/>
  <c r="F14" i="2" l="1"/>
  <c r="D15" i="2"/>
  <c r="E15" i="2" l="1"/>
  <c r="G15" i="2" s="1"/>
  <c r="F15" i="2" l="1"/>
  <c r="D16" i="2"/>
  <c r="E16" i="2" l="1"/>
  <c r="G16" i="2" s="1"/>
  <c r="F16" i="2" l="1"/>
  <c r="D17" i="2"/>
  <c r="E17" i="2" l="1"/>
  <c r="G17" i="2" s="1"/>
  <c r="F17" i="2" l="1"/>
  <c r="D18" i="2"/>
  <c r="E18" i="2" l="1"/>
  <c r="G18" i="2" s="1"/>
  <c r="F18" i="2" l="1"/>
  <c r="D19" i="2"/>
  <c r="E19" i="2" l="1"/>
  <c r="G19" i="2" s="1"/>
  <c r="F19" i="2" l="1"/>
  <c r="D20" i="2"/>
  <c r="E20" i="2" l="1"/>
  <c r="G20" i="2" s="1"/>
  <c r="F20" i="2" l="1"/>
  <c r="D21" i="2"/>
  <c r="E21" i="2" s="1"/>
  <c r="G21" i="2" s="1"/>
  <c r="F21" i="2" l="1"/>
</calcChain>
</file>

<file path=xl/sharedStrings.xml><?xml version="1.0" encoding="utf-8"?>
<sst xmlns="http://schemas.openxmlformats.org/spreadsheetml/2006/main" count="12" uniqueCount="12">
  <si>
    <r>
      <rPr>
        <b/>
        <sz val="10.5"/>
        <rFont val="Times New Roman"/>
        <family val="1"/>
      </rPr>
      <t>Period</t>
    </r>
  </si>
  <si>
    <r>
      <rPr>
        <b/>
        <sz val="10.5"/>
        <rFont val="Times New Roman"/>
        <family val="1"/>
      </rPr>
      <t>New_Adopters</t>
    </r>
  </si>
  <si>
    <r>
      <rPr>
        <b/>
        <sz val="10.5"/>
        <rFont val="Times New Roman"/>
        <family val="1"/>
      </rPr>
      <t>Cumulative_Adopters</t>
    </r>
  </si>
  <si>
    <r>
      <rPr>
        <b/>
        <sz val="10.5"/>
        <color rgb="FF1F1F1F"/>
        <rFont val="Calibri"/>
        <family val="1"/>
      </rPr>
      <t>Period</t>
    </r>
  </si>
  <si>
    <r>
      <rPr>
        <b/>
        <sz val="10.5"/>
        <color rgb="FF1F1F1F"/>
        <rFont val="Calibri"/>
        <family val="1"/>
      </rPr>
      <t>Actual New Adopters</t>
    </r>
  </si>
  <si>
    <r>
      <rPr>
        <b/>
        <sz val="10.5"/>
        <color rgb="FF1F1F1F"/>
        <rFont val="Calibri"/>
        <family val="1"/>
      </rPr>
      <t>Actual Cumulativ e.</t>
    </r>
  </si>
  <si>
    <r>
      <rPr>
        <b/>
        <sz val="10.5"/>
        <color rgb="FF1F1F1F"/>
        <rFont val="Calibri"/>
        <family val="1"/>
      </rPr>
      <t>Previous Cumulativ e</t>
    </r>
  </si>
  <si>
    <r>
      <rPr>
        <b/>
        <sz val="10.5"/>
        <color rgb="FF1F1F1F"/>
        <rFont val="Calibri"/>
        <family val="1"/>
      </rPr>
      <t>Predicted New Adopters</t>
    </r>
  </si>
  <si>
    <r>
      <rPr>
        <b/>
        <sz val="10.5"/>
        <rFont val="Times New Roman"/>
        <family val="1"/>
      </rPr>
      <t>Predicted Cumulative</t>
    </r>
  </si>
  <si>
    <r>
      <rPr>
        <sz val="10.5"/>
        <rFont val="Times New Roman"/>
        <family val="1"/>
      </rPr>
      <t>Error</t>
    </r>
  </si>
  <si>
    <t xml:space="preserve">      </t>
  </si>
  <si>
    <t>Squared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</si>
</sst>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Times New Roman"/>
      <charset val="204"/>
    </font>
    <font>
      <b/>
      <sz val="10.5"/>
      <name val="Times New Roman"/>
      <family val="1"/>
    </font>
    <font>
      <sz val="10.5"/>
      <color rgb="FF000000"/>
      <name val="Times New Roman"/>
      <family val="2"/>
    </font>
    <font>
      <b/>
      <sz val="10.5"/>
      <name val="Calibri"/>
      <family val="2"/>
    </font>
    <font>
      <sz val="10.5"/>
      <name val="Times New Roman"/>
      <family val="1"/>
    </font>
    <font>
      <sz val="10.5"/>
      <color rgb="FF008000"/>
      <name val="Calibri"/>
      <family val="2"/>
    </font>
    <font>
      <b/>
      <sz val="10.5"/>
      <color rgb="FF1F1F1F"/>
      <name val="Calibri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1F3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1F4E7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1F4E78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right" vertical="top" wrapText="1"/>
    </xf>
    <xf numFmtId="1" fontId="2" fillId="0" borderId="1" xfId="0" applyNumberFormat="1" applyFont="1" applyFill="1" applyBorder="1" applyAlignment="1">
      <alignment horizontal="right" vertical="top" shrinkToFit="1"/>
    </xf>
    <xf numFmtId="1" fontId="2" fillId="0" borderId="2" xfId="0" applyNumberFormat="1" applyFont="1" applyFill="1" applyBorder="1" applyAlignment="1">
      <alignment horizontal="right" vertical="top" shrinkToFi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wrapText="1"/>
    </xf>
    <xf numFmtId="1" fontId="2" fillId="0" borderId="6" xfId="0" applyNumberFormat="1" applyFont="1" applyFill="1" applyBorder="1" applyAlignment="1">
      <alignment horizontal="center" vertical="top" shrinkToFit="1"/>
    </xf>
    <xf numFmtId="1" fontId="5" fillId="0" borderId="6" xfId="0" applyNumberFormat="1" applyFont="1" applyFill="1" applyBorder="1" applyAlignment="1">
      <alignment horizontal="right" vertical="top" shrinkToFit="1"/>
    </xf>
    <xf numFmtId="1" fontId="2" fillId="0" borderId="6" xfId="0" applyNumberFormat="1" applyFont="1" applyFill="1" applyBorder="1" applyAlignment="1">
      <alignment horizontal="right" vertical="top" shrinkToFit="1"/>
    </xf>
    <xf numFmtId="0" fontId="0" fillId="0" borderId="5" xfId="0" applyFill="1" applyBorder="1" applyAlignment="1">
      <alignment horizontal="left" wrapText="1"/>
    </xf>
    <xf numFmtId="1" fontId="2" fillId="0" borderId="8" xfId="0" applyNumberFormat="1" applyFont="1" applyFill="1" applyBorder="1" applyAlignment="1">
      <alignment horizontal="center" vertical="top" shrinkToFit="1"/>
    </xf>
    <xf numFmtId="1" fontId="5" fillId="0" borderId="8" xfId="0" applyNumberFormat="1" applyFont="1" applyFill="1" applyBorder="1" applyAlignment="1">
      <alignment horizontal="right" vertical="top" shrinkToFit="1"/>
    </xf>
    <xf numFmtId="1" fontId="2" fillId="0" borderId="8" xfId="0" applyNumberFormat="1" applyFont="1" applyFill="1" applyBorder="1" applyAlignment="1">
      <alignment horizontal="right" vertical="top" shrinkToFit="1"/>
    </xf>
    <xf numFmtId="3" fontId="2" fillId="0" borderId="8" xfId="0" applyNumberFormat="1" applyFont="1" applyFill="1" applyBorder="1" applyAlignment="1">
      <alignment horizontal="right" vertical="top" shrinkToFit="1"/>
    </xf>
    <xf numFmtId="0" fontId="7" fillId="0" borderId="0" xfId="0" applyFont="1" applyFill="1" applyBorder="1" applyAlignment="1">
      <alignment horizontal="left" vertical="top"/>
    </xf>
    <xf numFmtId="2" fontId="0" fillId="0" borderId="7" xfId="0" applyNumberFormat="1" applyFill="1" applyBorder="1" applyAlignment="1">
      <alignment horizontal="left" wrapText="1"/>
    </xf>
    <xf numFmtId="2" fontId="7" fillId="0" borderId="0" xfId="0" applyNumberFormat="1" applyFont="1" applyFill="1" applyBorder="1" applyAlignment="1">
      <alignment horizontal="left" vertical="top"/>
    </xf>
    <xf numFmtId="2" fontId="0" fillId="0" borderId="0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81C13D3-25DF-4684-9902-BF76B3CA38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" cy="30480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525" cy="3048000"/>
        </a:xfrm>
        <a:custGeom>
          <a:avLst/>
          <a:gdLst/>
          <a:ahLst/>
          <a:cxnLst/>
          <a:rect l="0" t="0" r="0" b="0"/>
          <a:pathLst>
            <a:path w="9525" h="3048000">
              <a:moveTo>
                <a:pt x="9525" y="3048000"/>
              </a:moveTo>
              <a:lnTo>
                <a:pt x="0" y="3048000"/>
              </a:lnTo>
              <a:lnTo>
                <a:pt x="0" y="0"/>
              </a:lnTo>
              <a:lnTo>
                <a:pt x="9525" y="0"/>
              </a:lnTo>
              <a:lnTo>
                <a:pt x="9525" y="304800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topLeftCell="A11" workbookViewId="0"/>
  </sheetViews>
  <sheetFormatPr defaultRowHeight="12.75" x14ac:dyDescent="0.2"/>
  <cols>
    <col min="1" max="1" width="11.83203125" customWidth="1"/>
    <col min="2" max="2" width="24" customWidth="1"/>
    <col min="3" max="3" width="32.6640625" customWidth="1"/>
  </cols>
  <sheetData>
    <row r="1" spans="1:3" ht="15.2" customHeight="1" x14ac:dyDescent="0.2">
      <c r="A1" s="1" t="s">
        <v>0</v>
      </c>
      <c r="B1" s="2" t="s">
        <v>1</v>
      </c>
      <c r="C1" s="2" t="s">
        <v>2</v>
      </c>
    </row>
    <row r="2" spans="1:3" ht="15" customHeight="1" x14ac:dyDescent="0.2">
      <c r="A2" s="3">
        <v>1</v>
      </c>
      <c r="B2" s="4">
        <v>80</v>
      </c>
      <c r="C2" s="4">
        <v>80</v>
      </c>
    </row>
    <row r="3" spans="1:3" ht="15" customHeight="1" x14ac:dyDescent="0.2">
      <c r="A3" s="3">
        <v>2</v>
      </c>
      <c r="B3" s="4">
        <v>95</v>
      </c>
      <c r="C3" s="4">
        <v>175</v>
      </c>
    </row>
    <row r="4" spans="1:3" ht="15" customHeight="1" x14ac:dyDescent="0.2">
      <c r="A4" s="3">
        <v>3</v>
      </c>
      <c r="B4" s="4">
        <v>120</v>
      </c>
      <c r="C4" s="4">
        <v>295</v>
      </c>
    </row>
    <row r="5" spans="1:3" ht="15" customHeight="1" x14ac:dyDescent="0.2">
      <c r="A5" s="3">
        <v>4</v>
      </c>
      <c r="B5" s="4">
        <v>150</v>
      </c>
      <c r="C5" s="4">
        <v>445</v>
      </c>
    </row>
    <row r="6" spans="1:3" ht="15" customHeight="1" x14ac:dyDescent="0.2">
      <c r="A6" s="3">
        <v>5</v>
      </c>
      <c r="B6" s="4">
        <v>190</v>
      </c>
      <c r="C6" s="4">
        <v>635</v>
      </c>
    </row>
    <row r="7" spans="1:3" ht="15" customHeight="1" x14ac:dyDescent="0.2">
      <c r="A7" s="3">
        <v>6</v>
      </c>
      <c r="B7" s="4">
        <v>240</v>
      </c>
      <c r="C7" s="4">
        <v>875</v>
      </c>
    </row>
    <row r="8" spans="1:3" ht="15" customHeight="1" x14ac:dyDescent="0.2">
      <c r="A8" s="3">
        <v>7</v>
      </c>
      <c r="B8" s="4">
        <v>300</v>
      </c>
      <c r="C8" s="4">
        <v>1175</v>
      </c>
    </row>
    <row r="9" spans="1:3" ht="15" customHeight="1" x14ac:dyDescent="0.2">
      <c r="A9" s="3">
        <v>8</v>
      </c>
      <c r="B9" s="4">
        <v>360</v>
      </c>
      <c r="C9" s="4">
        <v>1535</v>
      </c>
    </row>
    <row r="10" spans="1:3" ht="15" customHeight="1" x14ac:dyDescent="0.2">
      <c r="A10" s="3">
        <v>9</v>
      </c>
      <c r="B10" s="4">
        <v>410</v>
      </c>
      <c r="C10" s="4">
        <v>1945</v>
      </c>
    </row>
    <row r="11" spans="1:3" ht="15" customHeight="1" x14ac:dyDescent="0.2">
      <c r="A11" s="3">
        <v>10</v>
      </c>
      <c r="B11" s="4">
        <v>430</v>
      </c>
      <c r="C11" s="4">
        <v>2375</v>
      </c>
    </row>
    <row r="12" spans="1:3" ht="15" customHeight="1" x14ac:dyDescent="0.2">
      <c r="A12" s="3">
        <v>11</v>
      </c>
      <c r="B12" s="4">
        <v>420</v>
      </c>
      <c r="C12" s="4">
        <v>2795</v>
      </c>
    </row>
    <row r="13" spans="1:3" ht="15" customHeight="1" x14ac:dyDescent="0.2">
      <c r="A13" s="3">
        <v>12</v>
      </c>
      <c r="B13" s="4">
        <v>390</v>
      </c>
      <c r="C13" s="4">
        <v>3185</v>
      </c>
    </row>
    <row r="14" spans="1:3" ht="15" customHeight="1" x14ac:dyDescent="0.2">
      <c r="A14" s="3">
        <v>13</v>
      </c>
      <c r="B14" s="4">
        <v>340</v>
      </c>
      <c r="C14" s="4">
        <v>3525</v>
      </c>
    </row>
    <row r="15" spans="1:3" ht="15" customHeight="1" x14ac:dyDescent="0.2">
      <c r="A15" s="3">
        <v>14</v>
      </c>
      <c r="B15" s="4">
        <v>280</v>
      </c>
      <c r="C15" s="4">
        <v>3805</v>
      </c>
    </row>
    <row r="16" spans="1:3" ht="15" customHeight="1" x14ac:dyDescent="0.2">
      <c r="A16" s="3">
        <v>15</v>
      </c>
      <c r="B16" s="4">
        <v>220</v>
      </c>
      <c r="C16" s="4">
        <v>4025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opLeftCell="A13" workbookViewId="0">
      <selection activeCell="H2" sqref="H2"/>
    </sheetView>
  </sheetViews>
  <sheetFormatPr defaultRowHeight="12.75" x14ac:dyDescent="0.2"/>
  <cols>
    <col min="1" max="1" width="11.83203125" customWidth="1"/>
    <col min="2" max="4" width="12" customWidth="1"/>
    <col min="5" max="5" width="19.1640625" customWidth="1"/>
    <col min="6" max="6" width="34.5" customWidth="1"/>
    <col min="7" max="7" width="12" customWidth="1"/>
  </cols>
  <sheetData>
    <row r="1" spans="1:11" ht="45" customHeight="1" x14ac:dyDescent="0.2">
      <c r="A1" s="5" t="s">
        <v>3</v>
      </c>
      <c r="B1" s="6" t="s">
        <v>4</v>
      </c>
      <c r="C1" s="6" t="s">
        <v>5</v>
      </c>
      <c r="D1" s="7" t="s">
        <v>6</v>
      </c>
      <c r="E1" s="8" t="s">
        <v>7</v>
      </c>
      <c r="F1" s="9" t="s">
        <v>8</v>
      </c>
      <c r="G1" s="10" t="s">
        <v>9</v>
      </c>
      <c r="H1" s="19" t="s">
        <v>11</v>
      </c>
    </row>
    <row r="2" spans="1:11" ht="15.75" customHeight="1" x14ac:dyDescent="0.2">
      <c r="A2" s="11">
        <v>1</v>
      </c>
      <c r="B2" s="12">
        <v>149</v>
      </c>
      <c r="C2" s="13">
        <v>149</v>
      </c>
      <c r="D2" s="14">
        <v>0</v>
      </c>
      <c r="E2" s="21">
        <f>($K$2+$K$3*(D2/$K$4))*($K$4- D2)</f>
        <v>120</v>
      </c>
      <c r="F2" s="20">
        <f>120</f>
        <v>120</v>
      </c>
      <c r="G2" s="20">
        <f>B2-E2</f>
        <v>29</v>
      </c>
      <c r="H2" s="22">
        <f>G2*G2</f>
        <v>841</v>
      </c>
      <c r="K2" s="19">
        <v>0.03</v>
      </c>
    </row>
    <row r="3" spans="1:11" ht="15.75" customHeight="1" x14ac:dyDescent="0.2">
      <c r="A3" s="15">
        <v>2</v>
      </c>
      <c r="B3" s="16">
        <v>199</v>
      </c>
      <c r="C3" s="17">
        <v>348</v>
      </c>
      <c r="D3" s="20">
        <f>D2+E2</f>
        <v>120</v>
      </c>
      <c r="E3" s="21">
        <f t="shared" ref="E3:E21" si="0">($K$2+$K$3*(D3/$K$4))*($K$4- D3)</f>
        <v>160.63200000000001</v>
      </c>
      <c r="F3" s="20">
        <f>E2+E3</f>
        <v>280.63200000000001</v>
      </c>
      <c r="G3" s="20">
        <f>B3-E3</f>
        <v>38.367999999999995</v>
      </c>
      <c r="H3" s="22">
        <f t="shared" ref="H3:H21" si="1">G3*G3</f>
        <v>1472.1034239999997</v>
      </c>
      <c r="K3">
        <v>0.38</v>
      </c>
    </row>
    <row r="4" spans="1:11" ht="15.75" customHeight="1" x14ac:dyDescent="0.2">
      <c r="A4" s="15">
        <v>3</v>
      </c>
      <c r="B4" s="16">
        <v>262</v>
      </c>
      <c r="C4" s="17">
        <v>610</v>
      </c>
      <c r="D4" s="20">
        <f t="shared" ref="D4:D21" si="2">D3+E3</f>
        <v>280.63200000000001</v>
      </c>
      <c r="E4" s="21">
        <f t="shared" si="0"/>
        <v>210.73953965471998</v>
      </c>
      <c r="F4" s="20">
        <f>F3+E4</f>
        <v>491.37153965471998</v>
      </c>
      <c r="G4" s="20">
        <f t="shared" ref="G4:G21" si="3">B4-E4</f>
        <v>51.260460345280023</v>
      </c>
      <c r="H4" s="22">
        <f t="shared" si="1"/>
        <v>2627.6347948100256</v>
      </c>
      <c r="K4">
        <v>4000</v>
      </c>
    </row>
    <row r="5" spans="1:11" ht="15.75" customHeight="1" x14ac:dyDescent="0.2">
      <c r="A5" s="15">
        <v>4</v>
      </c>
      <c r="B5" s="16">
        <v>342</v>
      </c>
      <c r="C5" s="17">
        <v>952</v>
      </c>
      <c r="D5" s="20">
        <f t="shared" si="2"/>
        <v>491.37153965471998</v>
      </c>
      <c r="E5" s="21">
        <f t="shared" si="0"/>
        <v>269.04266983080021</v>
      </c>
      <c r="F5" s="20">
        <f t="shared" ref="F5:F21" si="4">F4+E5</f>
        <v>760.41420948552013</v>
      </c>
      <c r="G5" s="20">
        <f t="shared" si="3"/>
        <v>72.957330169199793</v>
      </c>
      <c r="H5" s="22">
        <f t="shared" si="1"/>
        <v>5322.7720254176302</v>
      </c>
    </row>
    <row r="6" spans="1:11" ht="15.75" customHeight="1" x14ac:dyDescent="0.2">
      <c r="A6" s="15">
        <v>5</v>
      </c>
      <c r="B6" s="16">
        <v>413</v>
      </c>
      <c r="C6" s="18">
        <v>1365</v>
      </c>
      <c r="D6" s="20">
        <f t="shared" si="2"/>
        <v>760.41420948552013</v>
      </c>
      <c r="E6" s="21">
        <f t="shared" si="0"/>
        <v>331.21314517112063</v>
      </c>
      <c r="F6" s="20">
        <f t="shared" si="4"/>
        <v>1091.6273546566408</v>
      </c>
      <c r="G6" s="20">
        <f t="shared" si="3"/>
        <v>81.78685482887937</v>
      </c>
      <c r="H6" s="22">
        <f t="shared" si="1"/>
        <v>6689.0896228001884</v>
      </c>
    </row>
    <row r="7" spans="1:11" ht="15.75" customHeight="1" x14ac:dyDescent="0.2">
      <c r="A7" s="15">
        <v>6</v>
      </c>
      <c r="B7" s="16">
        <v>464</v>
      </c>
      <c r="C7" s="18">
        <v>1829</v>
      </c>
      <c r="D7" s="20">
        <f t="shared" si="2"/>
        <v>1091.6273546566408</v>
      </c>
      <c r="E7" s="21">
        <f t="shared" si="0"/>
        <v>388.86279739353205</v>
      </c>
      <c r="F7" s="20">
        <f t="shared" si="4"/>
        <v>1480.4901520501728</v>
      </c>
      <c r="G7" s="20">
        <f t="shared" si="3"/>
        <v>75.137202606467952</v>
      </c>
      <c r="H7" s="22">
        <f t="shared" si="1"/>
        <v>5645.5992155254144</v>
      </c>
    </row>
    <row r="8" spans="1:11" ht="15.75" customHeight="1" x14ac:dyDescent="0.2">
      <c r="A8" s="15">
        <v>7</v>
      </c>
      <c r="B8" s="16">
        <v>541</v>
      </c>
      <c r="C8" s="18">
        <v>2370</v>
      </c>
      <c r="D8" s="20">
        <f t="shared" si="2"/>
        <v>1480.4901520501728</v>
      </c>
      <c r="E8" s="21">
        <f t="shared" si="0"/>
        <v>429.94569963739389</v>
      </c>
      <c r="F8" s="20">
        <f t="shared" si="4"/>
        <v>1910.4358516875668</v>
      </c>
      <c r="G8" s="20">
        <f t="shared" si="3"/>
        <v>111.05430036260611</v>
      </c>
      <c r="H8" s="22">
        <f t="shared" si="1"/>
        <v>12333.057629027937</v>
      </c>
    </row>
    <row r="9" spans="1:11" ht="15.75" customHeight="1" x14ac:dyDescent="0.2">
      <c r="A9" s="15">
        <v>8</v>
      </c>
      <c r="B9" s="16">
        <v>548</v>
      </c>
      <c r="C9" s="18">
        <v>2918</v>
      </c>
      <c r="D9" s="20">
        <f t="shared" si="2"/>
        <v>1910.4358516875668</v>
      </c>
      <c r="E9" s="21">
        <f t="shared" si="0"/>
        <v>441.92485946639448</v>
      </c>
      <c r="F9" s="20">
        <f t="shared" si="4"/>
        <v>2352.3607111539613</v>
      </c>
      <c r="G9" s="20">
        <f t="shared" si="3"/>
        <v>106.07514053360552</v>
      </c>
      <c r="H9" s="22">
        <f t="shared" si="1"/>
        <v>11251.93543922416</v>
      </c>
    </row>
    <row r="10" spans="1:11" ht="15.75" customHeight="1" x14ac:dyDescent="0.2">
      <c r="A10" s="15">
        <v>9</v>
      </c>
      <c r="B10" s="16">
        <v>521</v>
      </c>
      <c r="C10" s="18">
        <v>3439</v>
      </c>
      <c r="D10" s="20">
        <f t="shared" si="2"/>
        <v>2352.3607111539613</v>
      </c>
      <c r="E10" s="21">
        <f t="shared" si="0"/>
        <v>417.63416194271326</v>
      </c>
      <c r="F10" s="20">
        <f t="shared" si="4"/>
        <v>2769.9948730966744</v>
      </c>
      <c r="G10" s="20">
        <f t="shared" si="3"/>
        <v>103.36583805728674</v>
      </c>
      <c r="H10" s="22">
        <f t="shared" si="1"/>
        <v>10684.496477285227</v>
      </c>
    </row>
    <row r="11" spans="1:11" ht="15.75" customHeight="1" x14ac:dyDescent="0.2">
      <c r="A11" s="15">
        <v>10</v>
      </c>
      <c r="B11" s="16">
        <v>456</v>
      </c>
      <c r="C11" s="18">
        <v>3895</v>
      </c>
      <c r="D11" s="20">
        <f t="shared" si="2"/>
        <v>2769.9948730966744</v>
      </c>
      <c r="E11" s="21">
        <f t="shared" si="0"/>
        <v>360.57540387055928</v>
      </c>
      <c r="F11" s="20">
        <f t="shared" si="4"/>
        <v>3130.5702769672334</v>
      </c>
      <c r="G11" s="20">
        <f t="shared" si="3"/>
        <v>95.424596129440715</v>
      </c>
      <c r="H11" s="22">
        <f t="shared" si="1"/>
        <v>9105.8535464668712</v>
      </c>
    </row>
    <row r="12" spans="1:11" ht="15.75" customHeight="1" x14ac:dyDescent="0.2">
      <c r="A12" s="15">
        <v>11</v>
      </c>
      <c r="B12" s="16">
        <v>363</v>
      </c>
      <c r="C12" s="18">
        <v>4258</v>
      </c>
      <c r="D12" s="20">
        <f t="shared" si="2"/>
        <v>3130.5702769672334</v>
      </c>
      <c r="E12" s="21">
        <f t="shared" si="0"/>
        <v>284.65492233061508</v>
      </c>
      <c r="F12" s="20">
        <f t="shared" si="4"/>
        <v>3415.2251992978486</v>
      </c>
      <c r="G12" s="20">
        <f t="shared" si="3"/>
        <v>78.345077669384921</v>
      </c>
      <c r="H12" s="22">
        <f t="shared" si="1"/>
        <v>6137.9511950219558</v>
      </c>
    </row>
    <row r="13" spans="1:11" ht="15.75" customHeight="1" x14ac:dyDescent="0.2">
      <c r="A13" s="15">
        <v>12</v>
      </c>
      <c r="B13" s="16">
        <v>272</v>
      </c>
      <c r="C13" s="18">
        <v>4530</v>
      </c>
      <c r="D13" s="20">
        <f t="shared" si="2"/>
        <v>3415.2251992978486</v>
      </c>
      <c r="E13" s="21">
        <f t="shared" si="0"/>
        <v>207.27131937193917</v>
      </c>
      <c r="F13" s="20">
        <f t="shared" si="4"/>
        <v>3622.4965186697877</v>
      </c>
      <c r="G13" s="20">
        <f t="shared" si="3"/>
        <v>64.728680628060829</v>
      </c>
      <c r="H13" s="22">
        <f t="shared" si="1"/>
        <v>4189.8020958494972</v>
      </c>
    </row>
    <row r="14" spans="1:11" ht="15.75" customHeight="1" x14ac:dyDescent="0.2">
      <c r="A14" s="15">
        <v>13</v>
      </c>
      <c r="B14" s="16">
        <v>179</v>
      </c>
      <c r="C14" s="18">
        <v>4709</v>
      </c>
      <c r="D14" s="20">
        <f t="shared" si="2"/>
        <v>3622.4965186697877</v>
      </c>
      <c r="E14" s="21">
        <f t="shared" si="0"/>
        <v>141.23808389582618</v>
      </c>
      <c r="F14" s="20">
        <f t="shared" si="4"/>
        <v>3763.7346025656138</v>
      </c>
      <c r="G14" s="20">
        <f t="shared" si="3"/>
        <v>37.761916104173821</v>
      </c>
      <c r="H14" s="22">
        <f t="shared" si="1"/>
        <v>1425.9623078586621</v>
      </c>
    </row>
    <row r="15" spans="1:11" ht="15.75" customHeight="1" x14ac:dyDescent="0.2">
      <c r="A15" s="15">
        <v>14</v>
      </c>
      <c r="B15" s="16">
        <v>113</v>
      </c>
      <c r="C15" s="18">
        <v>4822</v>
      </c>
      <c r="D15" s="20">
        <f t="shared" si="2"/>
        <v>3763.7346025656138</v>
      </c>
      <c r="E15" s="21">
        <f t="shared" si="0"/>
        <v>91.565785835739618</v>
      </c>
      <c r="F15" s="20">
        <f t="shared" si="4"/>
        <v>3855.3003884013533</v>
      </c>
      <c r="G15" s="20">
        <f t="shared" si="3"/>
        <v>21.434214164260382</v>
      </c>
      <c r="H15" s="22">
        <f t="shared" si="1"/>
        <v>459.42553683938041</v>
      </c>
      <c r="J15" s="19" t="s">
        <v>10</v>
      </c>
    </row>
    <row r="16" spans="1:11" ht="15.75" customHeight="1" x14ac:dyDescent="0.2">
      <c r="A16" s="15">
        <v>15</v>
      </c>
      <c r="B16" s="16">
        <v>69</v>
      </c>
      <c r="C16" s="18">
        <v>4891</v>
      </c>
      <c r="D16" s="20">
        <f t="shared" si="2"/>
        <v>3855.3003884013533</v>
      </c>
      <c r="E16" s="21">
        <f t="shared" si="0"/>
        <v>57.337732883749226</v>
      </c>
      <c r="F16" s="20">
        <f t="shared" si="4"/>
        <v>3912.6381212851024</v>
      </c>
      <c r="G16" s="20">
        <f t="shared" si="3"/>
        <v>11.662267116250774</v>
      </c>
      <c r="H16" s="22">
        <f t="shared" si="1"/>
        <v>136.00847429078416</v>
      </c>
    </row>
    <row r="17" spans="1:8" ht="15.75" customHeight="1" x14ac:dyDescent="0.2">
      <c r="A17" s="15">
        <v>16</v>
      </c>
      <c r="B17" s="16">
        <v>42</v>
      </c>
      <c r="C17" s="18">
        <v>4933</v>
      </c>
      <c r="D17" s="20">
        <f t="shared" si="2"/>
        <v>3912.6381212851024</v>
      </c>
      <c r="E17" s="21">
        <f t="shared" si="0"/>
        <v>35.093320977111333</v>
      </c>
      <c r="F17" s="20">
        <f t="shared" si="4"/>
        <v>3947.7314422622139</v>
      </c>
      <c r="G17" s="20">
        <f t="shared" si="3"/>
        <v>6.9066790228886674</v>
      </c>
      <c r="H17" s="22">
        <f t="shared" si="1"/>
        <v>47.702215125210358</v>
      </c>
    </row>
    <row r="18" spans="1:8" ht="15.75" customHeight="1" x14ac:dyDescent="0.2">
      <c r="A18" s="15">
        <v>17</v>
      </c>
      <c r="B18" s="16">
        <v>27</v>
      </c>
      <c r="C18" s="18">
        <v>4960</v>
      </c>
      <c r="D18" s="20">
        <f t="shared" si="2"/>
        <v>3947.7314422622139</v>
      </c>
      <c r="E18" s="21">
        <f t="shared" si="0"/>
        <v>21.1705684703334</v>
      </c>
      <c r="F18" s="20">
        <f t="shared" si="4"/>
        <v>3968.9020107325473</v>
      </c>
      <c r="G18" s="20">
        <f t="shared" si="3"/>
        <v>5.8294315296665999</v>
      </c>
      <c r="H18" s="22">
        <f t="shared" si="1"/>
        <v>33.982271959071078</v>
      </c>
    </row>
    <row r="19" spans="1:8" ht="15.75" customHeight="1" x14ac:dyDescent="0.2">
      <c r="A19" s="15">
        <v>18</v>
      </c>
      <c r="B19" s="16">
        <v>17</v>
      </c>
      <c r="C19" s="18">
        <v>4977</v>
      </c>
      <c r="D19" s="20">
        <f t="shared" si="2"/>
        <v>3968.9020107325473</v>
      </c>
      <c r="E19" s="21">
        <f t="shared" si="0"/>
        <v>12.658302530690142</v>
      </c>
      <c r="F19" s="20">
        <f t="shared" si="4"/>
        <v>3981.5603132632373</v>
      </c>
      <c r="G19" s="20">
        <f t="shared" si="3"/>
        <v>4.3416974693098584</v>
      </c>
      <c r="H19" s="22">
        <f t="shared" si="1"/>
        <v>18.850336915011628</v>
      </c>
    </row>
    <row r="20" spans="1:8" ht="15.75" customHeight="1" x14ac:dyDescent="0.2">
      <c r="A20" s="15">
        <v>19</v>
      </c>
      <c r="B20" s="16">
        <v>9</v>
      </c>
      <c r="C20" s="18">
        <v>4986</v>
      </c>
      <c r="D20" s="20">
        <f t="shared" si="2"/>
        <v>3981.5603132632373</v>
      </c>
      <c r="E20" s="21">
        <f t="shared" si="0"/>
        <v>7.527969467612472</v>
      </c>
      <c r="F20" s="20">
        <f t="shared" si="4"/>
        <v>3989.0882827308496</v>
      </c>
      <c r="G20" s="20">
        <f t="shared" si="3"/>
        <v>1.472030532387528</v>
      </c>
      <c r="H20" s="22">
        <f t="shared" si="1"/>
        <v>2.1668738882811089</v>
      </c>
    </row>
    <row r="21" spans="1:8" ht="15.95" customHeight="1" x14ac:dyDescent="0.2">
      <c r="A21" s="15">
        <v>20</v>
      </c>
      <c r="B21" s="16">
        <v>6</v>
      </c>
      <c r="C21" s="18">
        <v>4992</v>
      </c>
      <c r="D21" s="20">
        <f t="shared" si="2"/>
        <v>3989.0882827308496</v>
      </c>
      <c r="E21" s="21">
        <f t="shared" si="0"/>
        <v>4.4624928508442681</v>
      </c>
      <c r="F21" s="20">
        <f t="shared" si="4"/>
        <v>3993.5507755816939</v>
      </c>
      <c r="G21" s="20">
        <f t="shared" si="3"/>
        <v>1.5375071491557319</v>
      </c>
      <c r="H21" s="22">
        <f t="shared" si="1"/>
        <v>2.3639282337049861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1st laba_15</cp:lastModifiedBy>
  <dcterms:created xsi:type="dcterms:W3CDTF">2026-04-18T06:57:57Z</dcterms:created>
  <dcterms:modified xsi:type="dcterms:W3CDTF">2026-04-18T07:47:15Z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2026-04-18T00:00:00Z</vt:filetime>
  </property>
</Properties>
</file>