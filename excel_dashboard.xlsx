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2b5542cfd7301/Attachments/Desktop/excel folder/"/>
    </mc:Choice>
  </mc:AlternateContent>
  <xr:revisionPtr revIDLastSave="631" documentId="8_{5F89C866-EFDC-45EE-A4E9-F9B5ACB1E523}" xr6:coauthVersionLast="47" xr6:coauthVersionMax="47" xr10:uidLastSave="{20B5452F-095F-4776-8819-3FB25D90E8B6}"/>
  <bookViews>
    <workbookView minimized="1" xWindow="4944" yWindow="3708" windowWidth="17280" windowHeight="8880" activeTab="1" xr2:uid="{3161A305-1D69-4C60-865F-05DBBB65B6EF}"/>
  </bookViews>
  <sheets>
    <sheet name="raw data" sheetId="1" r:id="rId1"/>
    <sheet name="visualization" sheetId="2" r:id="rId2"/>
  </sheets>
  <externalReferences>
    <externalReference r:id="rId3"/>
  </externalReferences>
  <definedNames>
    <definedName name="UPDATE">'[1]Data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2" l="1"/>
  <c r="E10" i="2"/>
  <c r="B8" i="2"/>
  <c r="C8" i="2"/>
  <c r="D8" i="2"/>
  <c r="E8" i="2"/>
  <c r="F8" i="2"/>
  <c r="B10" i="2"/>
  <c r="C10" i="2"/>
  <c r="F10" i="2"/>
  <c r="B25" i="1"/>
  <c r="B23" i="1"/>
  <c r="B19" i="1"/>
  <c r="B18" i="1"/>
  <c r="B4" i="1"/>
  <c r="B5" i="1"/>
  <c r="B7" i="1"/>
  <c r="B8" i="1"/>
  <c r="B9" i="1"/>
  <c r="B10" i="1"/>
  <c r="B11" i="1"/>
  <c r="B12" i="1"/>
  <c r="B13" i="1" s="1"/>
  <c r="B15" i="1"/>
  <c r="D43" i="1"/>
  <c r="E43" i="1"/>
  <c r="F43" i="1"/>
  <c r="G43" i="1"/>
  <c r="C43" i="1"/>
  <c r="G21" i="1"/>
  <c r="G39" i="1" s="1"/>
  <c r="F21" i="1"/>
  <c r="F39" i="1" s="1"/>
  <c r="E21" i="1"/>
  <c r="E39" i="1" s="1"/>
  <c r="D21" i="1"/>
  <c r="C21" i="1"/>
  <c r="C39" i="1" s="1"/>
  <c r="G15" i="1"/>
  <c r="F15" i="1"/>
  <c r="E15" i="1"/>
  <c r="D15" i="1"/>
  <c r="C15" i="1"/>
  <c r="G12" i="1"/>
  <c r="G13" i="1" s="1"/>
  <c r="F12" i="1"/>
  <c r="F13" i="1" s="1"/>
  <c r="E12" i="1"/>
  <c r="E13" i="1" s="1"/>
  <c r="D12" i="1"/>
  <c r="D13" i="1" s="1"/>
  <c r="C12" i="1"/>
  <c r="C13" i="1" s="1"/>
  <c r="D47" i="1" s="1"/>
  <c r="C12" i="2" s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5" i="1"/>
  <c r="F5" i="1"/>
  <c r="E5" i="1"/>
  <c r="D5" i="1"/>
  <c r="C5" i="1"/>
  <c r="G4" i="1"/>
  <c r="G37" i="1" s="1"/>
  <c r="F7" i="2" s="1"/>
  <c r="F4" i="1"/>
  <c r="F37" i="1" s="1"/>
  <c r="E7" i="2" s="1"/>
  <c r="E4" i="1"/>
  <c r="E37" i="1" s="1"/>
  <c r="D7" i="2" s="1"/>
  <c r="D4" i="1"/>
  <c r="D37" i="1" s="1"/>
  <c r="C7" i="2" s="1"/>
  <c r="C4" i="1"/>
  <c r="C37" i="1" s="1"/>
  <c r="B7" i="2" s="1"/>
  <c r="G3" i="1"/>
  <c r="F3" i="1"/>
  <c r="E3" i="1"/>
  <c r="D3" i="1"/>
  <c r="C3" i="1"/>
  <c r="A1" i="1"/>
  <c r="B21" i="1" l="1"/>
  <c r="E47" i="1"/>
  <c r="D12" i="2" s="1"/>
  <c r="C47" i="1"/>
  <c r="B14" i="1"/>
  <c r="F47" i="1"/>
  <c r="E12" i="2" s="1"/>
  <c r="D31" i="1"/>
  <c r="C4" i="2" s="1"/>
  <c r="E45" i="1"/>
  <c r="D11" i="2" s="1"/>
  <c r="F45" i="1"/>
  <c r="E11" i="2" s="1"/>
  <c r="G45" i="1"/>
  <c r="F11" i="2" s="1"/>
  <c r="D39" i="1"/>
  <c r="B6" i="1"/>
  <c r="C35" i="1"/>
  <c r="B6" i="2" s="1"/>
  <c r="F35" i="1"/>
  <c r="E6" i="2" s="1"/>
  <c r="E35" i="1"/>
  <c r="D6" i="2" s="1"/>
  <c r="D35" i="1"/>
  <c r="C6" i="2" s="1"/>
  <c r="G14" i="1"/>
  <c r="C45" i="1"/>
  <c r="B11" i="2" s="1"/>
  <c r="D45" i="1"/>
  <c r="C11" i="2" s="1"/>
  <c r="G47" i="1"/>
  <c r="F12" i="2" s="1"/>
  <c r="C31" i="1"/>
  <c r="B4" i="2" s="1"/>
  <c r="G31" i="1"/>
  <c r="F4" i="2" s="1"/>
  <c r="F31" i="1"/>
  <c r="E4" i="2" s="1"/>
  <c r="G35" i="1"/>
  <c r="F6" i="2" s="1"/>
  <c r="E31" i="1"/>
  <c r="D4" i="2" s="1"/>
  <c r="C14" i="1"/>
  <c r="D14" i="1"/>
  <c r="E14" i="1"/>
  <c r="F14" i="1"/>
  <c r="F6" i="1"/>
  <c r="E6" i="1"/>
  <c r="G6" i="1"/>
  <c r="C6" i="1"/>
  <c r="D6" i="1"/>
  <c r="D41" i="1" l="1"/>
  <c r="C9" i="2" s="1"/>
  <c r="D33" i="1"/>
  <c r="C5" i="2" s="1"/>
  <c r="G33" i="1"/>
  <c r="F5" i="2" s="1"/>
  <c r="G41" i="1"/>
  <c r="F9" i="2" s="1"/>
  <c r="E33" i="1"/>
  <c r="D5" i="2" s="1"/>
  <c r="E41" i="1"/>
  <c r="D9" i="2" s="1"/>
  <c r="F33" i="1"/>
  <c r="E5" i="2" s="1"/>
  <c r="F41" i="1"/>
  <c r="E9" i="2" s="1"/>
  <c r="C33" i="1"/>
  <c r="B5" i="2" s="1"/>
  <c r="C41" i="1"/>
  <c r="B9" i="2" s="1"/>
</calcChain>
</file>

<file path=xl/sharedStrings.xml><?xml version="1.0" encoding="utf-8"?>
<sst xmlns="http://schemas.openxmlformats.org/spreadsheetml/2006/main" count="57" uniqueCount="51">
  <si>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</si>
  <si>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</si>
  <si>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</si>
  <si>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</si>
  <si>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</si>
  <si>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</si>
  <si>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</si>
  <si>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</si>
  <si>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</si>
  <si>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</si>
  <si>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</si>
  <si>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</si>
  <si>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</si>
  <si>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Equity Share Capital</t>
  </si>
  <si>
    <t>Reserves</t>
  </si>
  <si>
    <t>SHARE HOLDERS FUND(TOTAL EQUITY)</t>
  </si>
  <si>
    <t>BORROWINGS</t>
  </si>
  <si>
    <t>TOTAL ASSETS</t>
  </si>
  <si>
    <t>CURRENT ASSETS</t>
  </si>
  <si>
    <t>CURRENT LIABILITIES</t>
  </si>
  <si>
    <t>Return on Equity(ROE)</t>
  </si>
  <si>
    <t>Return on Capital Employed(ROCE)</t>
  </si>
  <si>
    <t>Net Profit Margin</t>
  </si>
  <si>
    <t>Asset Turnover</t>
  </si>
  <si>
    <t>Debt/Equity</t>
  </si>
  <si>
    <t>Interest Coverage</t>
  </si>
  <si>
    <t>Current Ratio</t>
  </si>
  <si>
    <t>P/E Ratio</t>
  </si>
  <si>
    <t>EPS Growth</t>
  </si>
  <si>
    <t>TCS Financial Ratio Dashboard | FY21–FY25</t>
  </si>
  <si>
    <t>FY21</t>
  </si>
  <si>
    <t>FY22</t>
  </si>
  <si>
    <t>FY23</t>
  </si>
  <si>
    <t>FY24</t>
  </si>
  <si>
    <t xml:space="preserve"> FY25</t>
  </si>
  <si>
    <t>Trend</t>
  </si>
  <si>
    <t xml:space="preserve"> Insight</t>
  </si>
  <si>
    <t>Ratio</t>
  </si>
  <si>
    <t>ROE (%)</t>
  </si>
  <si>
    <t>ROCE (%)</t>
  </si>
  <si>
    <t>Net Profit Margin (%)</t>
  </si>
  <si>
    <t>EPS Growth (%)</t>
  </si>
  <si>
    <t>ROE expanding — strong profitability</t>
  </si>
  <si>
    <t>ROCE rising — efficient capital use</t>
  </si>
  <si>
    <t>Stable ~19% margin</t>
  </si>
  <si>
    <t>Near debt-free throughout</t>
  </si>
  <si>
    <t>Interest coverage very strong</t>
  </si>
  <si>
    <t>Liquidity tightening — watch</t>
  </si>
  <si>
    <t>EPS growth accelerating</t>
  </si>
  <si>
    <t>Asset efficiency improving</t>
  </si>
  <si>
    <t>Valuation compressing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</si>
</sst>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mmm\-yy;@"/>
    <numFmt numFmtId="165" formatCode="&quot;₹&quot;\ #,##0.00"/>
    <numFmt numFmtId="166" formatCode="0.00000"/>
    <numFmt numFmtId="167" formatCode="0.0000"/>
    <numFmt numFmtId="168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rgb="FF22222F"/>
      <name val="Arial"/>
      <family val="2"/>
    </font>
    <font>
      <b/>
      <sz val="10"/>
      <color rgb="FF22222F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i/>
      <sz val="10"/>
      <color rgb="FF40404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43" fontId="3" fillId="0" borderId="0" xfId="1" applyFont="1" applyBorder="1"/>
    <xf numFmtId="43" fontId="1" fillId="0" borderId="0" xfId="1" applyFont="1" applyBorder="1"/>
    <xf numFmtId="164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44" fontId="0" fillId="0" borderId="0" xfId="0" applyNumberFormat="1"/>
    <xf numFmtId="165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44" fontId="3" fillId="0" borderId="1" xfId="0" applyNumberFormat="1" applyFont="1" applyBorder="1"/>
    <xf numFmtId="44" fontId="3" fillId="0" borderId="1" xfId="1" applyNumberFormat="1" applyFont="1" applyBorder="1"/>
    <xf numFmtId="44" fontId="1" fillId="0" borderId="1" xfId="1" applyNumberFormat="1" applyFont="1" applyBorder="1"/>
    <xf numFmtId="164" fontId="2" fillId="2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3" fontId="5" fillId="4" borderId="0" xfId="0" applyNumberFormat="1" applyFont="1" applyFill="1" applyAlignment="1">
      <alignment horizontal="right" vertical="center" wrapText="1" indent="1"/>
    </xf>
    <xf numFmtId="44" fontId="6" fillId="4" borderId="1" xfId="0" applyNumberFormat="1" applyFont="1" applyFill="1" applyBorder="1" applyAlignment="1">
      <alignment horizontal="right" vertical="center" wrapText="1" indent="1"/>
    </xf>
    <xf numFmtId="168" fontId="0" fillId="0" borderId="1" xfId="0" applyNumberForma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8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4" fontId="3" fillId="0" borderId="1" xfId="1" applyNumberFormat="1" applyFont="1" applyBorder="1" applyAlignment="1">
      <alignment horizontal="center" vertical="center"/>
    </xf>
    <xf numFmtId="44" fontId="0" fillId="0" borderId="1" xfId="1" applyNumberFormat="1" applyFont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/>
    </xf>
    <xf numFmtId="44" fontId="0" fillId="0" borderId="0" xfId="1" applyNumberFormat="1" applyFont="1" applyBorder="1" applyAlignment="1">
      <alignment horizontal="center"/>
    </xf>
    <xf numFmtId="44" fontId="3" fillId="0" borderId="1" xfId="1" applyNumberFormat="1" applyFont="1" applyBorder="1" applyAlignment="1">
      <alignment horizontal="center"/>
    </xf>
    <xf numFmtId="44" fontId="4" fillId="0" borderId="1" xfId="0" applyNumberFormat="1" applyFont="1" applyBorder="1" applyAlignment="1">
      <alignment vertical="center" wrapText="1"/>
    </xf>
    <xf numFmtId="0" fontId="7" fillId="5" borderId="1" xfId="0" applyFont="1" applyFill="1" applyBorder="1" applyAlignment="1">
      <alignment horizontal="center"/>
    </xf>
    <xf numFmtId="0" fontId="9" fillId="8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699FF"/>
      <color rgb="FF66FF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612b5542cfd7301/Attachments/Desktop/excel%20folder/TCS.xlsx" TargetMode="External"/><Relationship Id="rId1" Type="http://schemas.openxmlformats.org/officeDocument/2006/relationships/externalLinkPath" Target="T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TATA CONSULTANCY SERVICES LTD</v>
          </cell>
          <cell r="E1" t="str">
            <v/>
          </cell>
        </row>
        <row r="16">
          <cell r="F16">
            <v>44286</v>
          </cell>
          <cell r="G16">
            <v>44651</v>
          </cell>
          <cell r="H16">
            <v>45016</v>
          </cell>
          <cell r="I16">
            <v>45382</v>
          </cell>
          <cell r="J16">
            <v>45747</v>
          </cell>
        </row>
        <row r="17">
          <cell r="E17">
            <v>156949</v>
          </cell>
          <cell r="F17">
            <v>164177</v>
          </cell>
          <cell r="G17">
            <v>191754</v>
          </cell>
          <cell r="H17">
            <v>225458</v>
          </cell>
          <cell r="I17">
            <v>240893</v>
          </cell>
          <cell r="J17">
            <v>255324</v>
          </cell>
        </row>
        <row r="18">
          <cell r="E18">
            <v>18</v>
          </cell>
          <cell r="F18">
            <v>14</v>
          </cell>
          <cell r="G18">
            <v>29</v>
          </cell>
          <cell r="H18">
            <v>37</v>
          </cell>
          <cell r="I18">
            <v>42</v>
          </cell>
          <cell r="J18">
            <v>49</v>
          </cell>
        </row>
        <row r="21">
          <cell r="E21">
            <v>1887</v>
          </cell>
          <cell r="F21">
            <v>1448</v>
          </cell>
          <cell r="G21">
            <v>1134</v>
          </cell>
          <cell r="H21">
            <v>1844</v>
          </cell>
          <cell r="I21">
            <v>3660</v>
          </cell>
          <cell r="J21">
            <v>11599</v>
          </cell>
        </row>
        <row r="22">
          <cell r="E22">
            <v>85952</v>
          </cell>
          <cell r="F22">
            <v>91814</v>
          </cell>
          <cell r="G22">
            <v>107554</v>
          </cell>
          <cell r="H22">
            <v>127522</v>
          </cell>
          <cell r="I22">
            <v>140131</v>
          </cell>
          <cell r="J22">
            <v>145788</v>
          </cell>
        </row>
        <row r="23">
          <cell r="E23">
            <v>20527</v>
          </cell>
          <cell r="F23">
            <v>18322</v>
          </cell>
          <cell r="G23">
            <v>23187</v>
          </cell>
          <cell r="H23">
            <v>28913</v>
          </cell>
          <cell r="I23">
            <v>24151</v>
          </cell>
          <cell r="J23">
            <v>20729</v>
          </cell>
        </row>
        <row r="24">
          <cell r="E24">
            <v>6456</v>
          </cell>
          <cell r="F24">
            <v>6033</v>
          </cell>
          <cell r="G24">
            <v>6793</v>
          </cell>
          <cell r="H24">
            <v>7883</v>
          </cell>
          <cell r="I24">
            <v>8613</v>
          </cell>
          <cell r="J24">
            <v>9752</v>
          </cell>
        </row>
        <row r="25">
          <cell r="E25">
            <v>4592</v>
          </cell>
          <cell r="F25">
            <v>1916</v>
          </cell>
          <cell r="G25">
            <v>4018</v>
          </cell>
          <cell r="H25">
            <v>3449</v>
          </cell>
          <cell r="I25">
            <v>3464</v>
          </cell>
          <cell r="J25">
            <v>3962</v>
          </cell>
        </row>
        <row r="26">
          <cell r="E26">
            <v>3529</v>
          </cell>
          <cell r="F26">
            <v>4065</v>
          </cell>
          <cell r="G26">
            <v>4604</v>
          </cell>
          <cell r="H26">
            <v>5022</v>
          </cell>
          <cell r="I26">
            <v>4985</v>
          </cell>
          <cell r="J26">
            <v>5242</v>
          </cell>
        </row>
        <row r="27">
          <cell r="E27">
            <v>924</v>
          </cell>
          <cell r="F27">
            <v>637</v>
          </cell>
          <cell r="G27">
            <v>784</v>
          </cell>
          <cell r="H27">
            <v>779</v>
          </cell>
          <cell r="I27">
            <v>778</v>
          </cell>
          <cell r="J27">
            <v>796</v>
          </cell>
        </row>
        <row r="28">
          <cell r="E28">
            <v>42248</v>
          </cell>
          <cell r="F28">
            <v>43760</v>
          </cell>
          <cell r="G28">
            <v>51687</v>
          </cell>
          <cell r="H28">
            <v>56907</v>
          </cell>
          <cell r="I28">
            <v>61997</v>
          </cell>
          <cell r="J28">
            <v>65331</v>
          </cell>
        </row>
        <row r="29">
          <cell r="E29">
            <v>9801</v>
          </cell>
          <cell r="F29">
            <v>11198</v>
          </cell>
          <cell r="G29">
            <v>13238</v>
          </cell>
          <cell r="H29">
            <v>14604</v>
          </cell>
          <cell r="I29">
            <v>15898</v>
          </cell>
          <cell r="J29">
            <v>16534</v>
          </cell>
        </row>
        <row r="30">
          <cell r="E30">
            <v>32340</v>
          </cell>
          <cell r="F30">
            <v>32430</v>
          </cell>
          <cell r="G30">
            <v>38327</v>
          </cell>
          <cell r="H30">
            <v>42147</v>
          </cell>
          <cell r="I30">
            <v>45908</v>
          </cell>
          <cell r="J30">
            <v>48553</v>
          </cell>
        </row>
        <row r="57">
          <cell r="E57">
            <v>375</v>
          </cell>
        </row>
        <row r="58">
          <cell r="E58">
            <v>83751</v>
          </cell>
        </row>
        <row r="59">
          <cell r="E59">
            <v>8174</v>
          </cell>
        </row>
        <row r="66">
          <cell r="E66">
            <v>120127</v>
          </cell>
        </row>
        <row r="90">
          <cell r="E90">
            <v>1826.1</v>
          </cell>
          <cell r="F90">
            <v>3177.85</v>
          </cell>
          <cell r="G90">
            <v>3739.95</v>
          </cell>
          <cell r="H90">
            <v>3205.9</v>
          </cell>
          <cell r="I90">
            <v>3876.3</v>
          </cell>
          <cell r="J90">
            <v>3606.15</v>
          </cell>
        </row>
        <row r="93">
          <cell r="E93">
            <v>375.24</v>
          </cell>
          <cell r="F93">
            <v>369.91</v>
          </cell>
          <cell r="G93">
            <v>365.91</v>
          </cell>
          <cell r="H93">
            <v>365.91</v>
          </cell>
          <cell r="I93">
            <v>361.81</v>
          </cell>
          <cell r="J93">
            <v>361.81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903F-97BF-424B-8798-99AE0DF9FECE}">
  <dimension ref="A1:J47"/>
  <sheetViews>
    <sheetView topLeftCell="A25" zoomScaleNormal="100" workbookViewId="0">
      <selection activeCell="C47" sqref="C47"/>
    </sheetView>
  </sheetViews>
  <sheetFormatPr defaultRowHeight="14.4" x14ac:dyDescent="0.3"/>
  <cols>
    <col min="1" max="2" width="30.33203125" customWidth="1"/>
    <col min="3" max="3" width="23.88671875" customWidth="1"/>
    <col min="4" max="4" width="17.44140625" customWidth="1"/>
    <col min="5" max="5" width="17" customWidth="1"/>
    <col min="6" max="6" width="13.44140625" customWidth="1"/>
    <col min="7" max="7" width="17.5546875" customWidth="1"/>
    <col min="8" max="8" width="16.21875" customWidth="1"/>
    <col min="9" max="9" width="12.77734375" customWidth="1"/>
    <col min="10" max="10" width="16.109375" customWidth="1"/>
    <col min="11" max="11" width="19.33203125" customWidth="1"/>
    <col min="12" max="12" width="14.77734375" customWidth="1"/>
  </cols>
  <sheetData>
    <row r="1" spans="1:9" x14ac:dyDescent="0.3">
      <c r="A1" s="1" t="str">
        <f>'[1]Data Sheet'!B1</f>
        <v>TATA CONSULTANCY SERVICES LTD</v>
      </c>
      <c r="B1" s="1"/>
    </row>
    <row r="3" spans="1:9" x14ac:dyDescent="0.3">
      <c r="A3" s="2" t="s">
        <v>0</v>
      </c>
      <c r="B3" s="34">
        <v>43891</v>
      </c>
      <c r="C3" s="6">
        <f>'[1]Data Sheet'!F16</f>
        <v>44286</v>
      </c>
      <c r="D3" s="6">
        <f>'[1]Data Sheet'!G16</f>
        <v>44651</v>
      </c>
      <c r="E3" s="6">
        <f>'[1]Data Sheet'!H16</f>
        <v>45016</v>
      </c>
      <c r="F3" s="6">
        <f>'[1]Data Sheet'!I16</f>
        <v>45382</v>
      </c>
      <c r="G3" s="15">
        <f>'[1]Data Sheet'!J16</f>
        <v>45747</v>
      </c>
      <c r="I3" s="16"/>
    </row>
    <row r="4" spans="1:9" x14ac:dyDescent="0.3">
      <c r="A4" s="1" t="s">
        <v>1</v>
      </c>
      <c r="B4" s="35">
        <f>'[1]Data Sheet'!E17</f>
        <v>156949</v>
      </c>
      <c r="C4" s="13">
        <f>'[1]Data Sheet'!F17</f>
        <v>164177</v>
      </c>
      <c r="D4" s="13">
        <f>'[1]Data Sheet'!G17</f>
        <v>191754</v>
      </c>
      <c r="E4" s="13">
        <f>'[1]Data Sheet'!H17</f>
        <v>225458</v>
      </c>
      <c r="F4" s="13">
        <f>'[1]Data Sheet'!I17</f>
        <v>240893</v>
      </c>
      <c r="G4" s="13">
        <f>'[1]Data Sheet'!J17</f>
        <v>255324</v>
      </c>
      <c r="I4" s="4"/>
    </row>
    <row r="5" spans="1:9" x14ac:dyDescent="0.3">
      <c r="A5" t="s">
        <v>2</v>
      </c>
      <c r="B5" s="36">
        <f>SUM('[1]Data Sheet'!E18,'[1]Data Sheet'!E20:E24, -1*'[1]Data Sheet'!E19)</f>
        <v>114840</v>
      </c>
      <c r="C5" s="14">
        <f>SUM('[1]Data Sheet'!F18,'[1]Data Sheet'!F20:F24, -1*'[1]Data Sheet'!F19)</f>
        <v>117631</v>
      </c>
      <c r="D5" s="14">
        <f>SUM('[1]Data Sheet'!G18,'[1]Data Sheet'!G20:G24, -1*'[1]Data Sheet'!G19)</f>
        <v>138697</v>
      </c>
      <c r="E5" s="14">
        <f>SUM('[1]Data Sheet'!H18,'[1]Data Sheet'!H20:H24, -1*'[1]Data Sheet'!H19)</f>
        <v>166199</v>
      </c>
      <c r="F5" s="14">
        <f>SUM('[1]Data Sheet'!I18,'[1]Data Sheet'!I20:I24, -1*'[1]Data Sheet'!I19)</f>
        <v>176597</v>
      </c>
      <c r="G5" s="14">
        <f>SUM('[1]Data Sheet'!J18,'[1]Data Sheet'!J20:J24, -1*'[1]Data Sheet'!J19)</f>
        <v>187917</v>
      </c>
      <c r="I5" s="5"/>
    </row>
    <row r="6" spans="1:9" x14ac:dyDescent="0.3">
      <c r="A6" s="1" t="s">
        <v>3</v>
      </c>
      <c r="B6" s="35">
        <f t="shared" ref="B6:G6" si="0">B4-B5</f>
        <v>42109</v>
      </c>
      <c r="C6" s="13">
        <f t="shared" si="0"/>
        <v>46546</v>
      </c>
      <c r="D6" s="13">
        <f t="shared" si="0"/>
        <v>53057</v>
      </c>
      <c r="E6" s="13">
        <f t="shared" si="0"/>
        <v>59259</v>
      </c>
      <c r="F6" s="13">
        <f t="shared" si="0"/>
        <v>64296</v>
      </c>
      <c r="G6" s="13">
        <f t="shared" si="0"/>
        <v>67407</v>
      </c>
      <c r="I6" s="4"/>
    </row>
    <row r="7" spans="1:9" x14ac:dyDescent="0.3">
      <c r="A7" t="s">
        <v>4</v>
      </c>
      <c r="B7" s="36">
        <f>'[1]Data Sheet'!E25</f>
        <v>4592</v>
      </c>
      <c r="C7" s="14">
        <f>'[1]Data Sheet'!F25</f>
        <v>1916</v>
      </c>
      <c r="D7" s="14">
        <f>'[1]Data Sheet'!G25</f>
        <v>4018</v>
      </c>
      <c r="E7" s="14">
        <f>'[1]Data Sheet'!H25</f>
        <v>3449</v>
      </c>
      <c r="F7" s="14">
        <f>'[1]Data Sheet'!I25</f>
        <v>3464</v>
      </c>
      <c r="G7" s="14">
        <f>'[1]Data Sheet'!J25</f>
        <v>3962</v>
      </c>
      <c r="I7" s="5"/>
    </row>
    <row r="8" spans="1:9" x14ac:dyDescent="0.3">
      <c r="A8" t="s">
        <v>5</v>
      </c>
      <c r="B8" s="36">
        <f>'[1]Data Sheet'!E26</f>
        <v>3529</v>
      </c>
      <c r="C8" s="14">
        <f>'[1]Data Sheet'!F26</f>
        <v>4065</v>
      </c>
      <c r="D8" s="14">
        <f>'[1]Data Sheet'!G26</f>
        <v>4604</v>
      </c>
      <c r="E8" s="14">
        <f>'[1]Data Sheet'!H26</f>
        <v>5022</v>
      </c>
      <c r="F8" s="14">
        <f>'[1]Data Sheet'!I26</f>
        <v>4985</v>
      </c>
      <c r="G8" s="14">
        <f>'[1]Data Sheet'!J26</f>
        <v>5242</v>
      </c>
      <c r="I8" s="5"/>
    </row>
    <row r="9" spans="1:9" x14ac:dyDescent="0.3">
      <c r="A9" t="s">
        <v>6</v>
      </c>
      <c r="B9" s="36">
        <f>'[1]Data Sheet'!E27</f>
        <v>924</v>
      </c>
      <c r="C9" s="14">
        <f>'[1]Data Sheet'!F27</f>
        <v>637</v>
      </c>
      <c r="D9" s="14">
        <f>'[1]Data Sheet'!G27</f>
        <v>784</v>
      </c>
      <c r="E9" s="14">
        <f>'[1]Data Sheet'!H27</f>
        <v>779</v>
      </c>
      <c r="F9" s="14">
        <f>'[1]Data Sheet'!I27</f>
        <v>778</v>
      </c>
      <c r="G9" s="14">
        <f>'[1]Data Sheet'!J27</f>
        <v>796</v>
      </c>
      <c r="I9" s="5"/>
    </row>
    <row r="10" spans="1:9" x14ac:dyDescent="0.3">
      <c r="A10" t="s">
        <v>7</v>
      </c>
      <c r="B10" s="36">
        <f>'[1]Data Sheet'!E28</f>
        <v>42248</v>
      </c>
      <c r="C10" s="14">
        <f>'[1]Data Sheet'!F28</f>
        <v>43760</v>
      </c>
      <c r="D10" s="14">
        <f>'[1]Data Sheet'!G28</f>
        <v>51687</v>
      </c>
      <c r="E10" s="14">
        <f>'[1]Data Sheet'!H28</f>
        <v>56907</v>
      </c>
      <c r="F10" s="14">
        <f>'[1]Data Sheet'!I28</f>
        <v>61997</v>
      </c>
      <c r="G10" s="14">
        <f>'[1]Data Sheet'!J28</f>
        <v>65331</v>
      </c>
      <c r="I10" s="5"/>
    </row>
    <row r="11" spans="1:9" x14ac:dyDescent="0.3">
      <c r="A11" t="s">
        <v>8</v>
      </c>
      <c r="B11" s="36">
        <f>'[1]Data Sheet'!E29</f>
        <v>9801</v>
      </c>
      <c r="C11" s="14">
        <f>'[1]Data Sheet'!F29</f>
        <v>11198</v>
      </c>
      <c r="D11" s="14">
        <f>'[1]Data Sheet'!G29</f>
        <v>13238</v>
      </c>
      <c r="E11" s="14">
        <f>'[1]Data Sheet'!H29</f>
        <v>14604</v>
      </c>
      <c r="F11" s="14">
        <f>'[1]Data Sheet'!I29</f>
        <v>15898</v>
      </c>
      <c r="G11" s="14">
        <f>'[1]Data Sheet'!J29</f>
        <v>16534</v>
      </c>
      <c r="I11" s="5"/>
    </row>
    <row r="12" spans="1:9" x14ac:dyDescent="0.3">
      <c r="A12" s="1" t="s">
        <v>9</v>
      </c>
      <c r="B12" s="35">
        <f>'[1]Data Sheet'!E30</f>
        <v>32340</v>
      </c>
      <c r="C12" s="13">
        <f>'[1]Data Sheet'!F30</f>
        <v>32430</v>
      </c>
      <c r="D12" s="13">
        <f>'[1]Data Sheet'!G30</f>
        <v>38327</v>
      </c>
      <c r="E12" s="13">
        <f>'[1]Data Sheet'!H30</f>
        <v>42147</v>
      </c>
      <c r="F12" s="13">
        <f>'[1]Data Sheet'!I30</f>
        <v>45908</v>
      </c>
      <c r="G12" s="13">
        <f>'[1]Data Sheet'!J30</f>
        <v>48553</v>
      </c>
      <c r="I12" s="4"/>
    </row>
    <row r="13" spans="1:9" x14ac:dyDescent="0.3">
      <c r="A13" t="s">
        <v>10</v>
      </c>
      <c r="B13" s="36">
        <f>IF('[1]Data Sheet'!E93&gt;0,B12/'[1]Data Sheet'!E93,0)</f>
        <v>86.184841701311157</v>
      </c>
      <c r="C13" s="14">
        <f>IF('[1]Data Sheet'!F93&gt;0,C12/'[1]Data Sheet'!F93,0)</f>
        <v>87.669973777405303</v>
      </c>
      <c r="D13" s="14">
        <f>IF('[1]Data Sheet'!G93&gt;0,D12/'[1]Data Sheet'!G93,0)</f>
        <v>104.74433603891667</v>
      </c>
      <c r="E13" s="14">
        <f>IF('[1]Data Sheet'!H93&gt;0,E12/'[1]Data Sheet'!H93,0)</f>
        <v>115.1840616545052</v>
      </c>
      <c r="F13" s="14">
        <f>IF('[1]Data Sheet'!I93&gt;0,F12/'[1]Data Sheet'!I93,0)</f>
        <v>126.88427627760427</v>
      </c>
      <c r="G13" s="14">
        <f>IF('[1]Data Sheet'!J93&gt;0,G12/'[1]Data Sheet'!J93,0)</f>
        <v>134.1947430972057</v>
      </c>
      <c r="I13" s="5"/>
    </row>
    <row r="14" spans="1:9" x14ac:dyDescent="0.3">
      <c r="A14" t="s">
        <v>11</v>
      </c>
      <c r="B14" s="36">
        <f t="shared" ref="B14:G14" si="1">IF(B15&gt;0,B15/B13,"")</f>
        <v>21.188180705009277</v>
      </c>
      <c r="C14" s="14">
        <f t="shared" si="1"/>
        <v>36.247872139993838</v>
      </c>
      <c r="D14" s="14">
        <f t="shared" si="1"/>
        <v>35.705510593054505</v>
      </c>
      <c r="E14" s="14">
        <f t="shared" si="1"/>
        <v>27.832843832301233</v>
      </c>
      <c r="F14" s="14">
        <f t="shared" si="1"/>
        <v>30.549884617060208</v>
      </c>
      <c r="G14" s="14">
        <f t="shared" si="1"/>
        <v>26.872513160875748</v>
      </c>
      <c r="I14" s="5"/>
    </row>
    <row r="15" spans="1:9" x14ac:dyDescent="0.3">
      <c r="A15" s="1" t="s">
        <v>12</v>
      </c>
      <c r="B15" s="35">
        <f>'[1]Data Sheet'!E90</f>
        <v>1826.1</v>
      </c>
      <c r="C15" s="13">
        <f>'[1]Data Sheet'!F90</f>
        <v>3177.85</v>
      </c>
      <c r="D15" s="13">
        <f>'[1]Data Sheet'!G90</f>
        <v>3739.95</v>
      </c>
      <c r="E15" s="13">
        <f>'[1]Data Sheet'!H90</f>
        <v>3205.9</v>
      </c>
      <c r="F15" s="13">
        <f>'[1]Data Sheet'!I90</f>
        <v>3876.3</v>
      </c>
      <c r="G15" s="13">
        <f>'[1]Data Sheet'!J90</f>
        <v>3606.15</v>
      </c>
      <c r="I15" s="4"/>
    </row>
    <row r="17" spans="1:7" x14ac:dyDescent="0.3">
      <c r="A17" s="2" t="s">
        <v>0</v>
      </c>
      <c r="B17" s="37">
        <v>43891</v>
      </c>
      <c r="C17" s="3">
        <v>44256</v>
      </c>
      <c r="D17" s="3">
        <v>44621</v>
      </c>
      <c r="E17" s="3">
        <v>44986</v>
      </c>
      <c r="F17" s="3">
        <v>45352</v>
      </c>
      <c r="G17" s="3">
        <v>45717</v>
      </c>
    </row>
    <row r="18" spans="1:7" x14ac:dyDescent="0.3">
      <c r="A18" t="s">
        <v>13</v>
      </c>
      <c r="B18" s="38">
        <f>'[1]Data Sheet'!E57</f>
        <v>375</v>
      </c>
      <c r="C18" s="8">
        <v>370</v>
      </c>
      <c r="D18" s="8">
        <v>366</v>
      </c>
      <c r="E18" s="8">
        <v>366</v>
      </c>
      <c r="F18" s="8">
        <v>362</v>
      </c>
      <c r="G18" s="8">
        <v>362</v>
      </c>
    </row>
    <row r="19" spans="1:7" x14ac:dyDescent="0.3">
      <c r="A19" t="s">
        <v>14</v>
      </c>
      <c r="B19" s="38">
        <f>'[1]Data Sheet'!E58</f>
        <v>83751</v>
      </c>
      <c r="C19" s="8">
        <v>86063</v>
      </c>
      <c r="D19" s="8">
        <v>88773</v>
      </c>
      <c r="E19" s="8">
        <v>90058</v>
      </c>
      <c r="F19" s="8">
        <v>90127</v>
      </c>
      <c r="G19" s="8">
        <v>94394</v>
      </c>
    </row>
    <row r="21" spans="1:7" ht="28.8" x14ac:dyDescent="0.3">
      <c r="A21" s="7" t="s">
        <v>15</v>
      </c>
      <c r="B21" s="40">
        <f t="shared" ref="B21:G21" si="2">SUM(B18:B19)</f>
        <v>84126</v>
      </c>
      <c r="C21" s="9">
        <f t="shared" si="2"/>
        <v>86433</v>
      </c>
      <c r="D21" s="10">
        <f t="shared" si="2"/>
        <v>89139</v>
      </c>
      <c r="E21" s="10">
        <f t="shared" si="2"/>
        <v>90424</v>
      </c>
      <c r="F21" s="10">
        <f t="shared" si="2"/>
        <v>90489</v>
      </c>
      <c r="G21" s="10">
        <f t="shared" si="2"/>
        <v>94756</v>
      </c>
    </row>
    <row r="23" spans="1:7" x14ac:dyDescent="0.3">
      <c r="A23" s="11" t="s">
        <v>16</v>
      </c>
      <c r="B23" s="39">
        <f>'[1]Data Sheet'!E59</f>
        <v>8174</v>
      </c>
      <c r="C23" s="12">
        <v>7795</v>
      </c>
      <c r="D23" s="12">
        <v>7818</v>
      </c>
      <c r="E23" s="12">
        <v>7688</v>
      </c>
      <c r="F23" s="12">
        <v>8021</v>
      </c>
      <c r="G23" s="12">
        <v>9392</v>
      </c>
    </row>
    <row r="25" spans="1:7" x14ac:dyDescent="0.3">
      <c r="A25" s="12" t="s">
        <v>17</v>
      </c>
      <c r="B25" s="35">
        <f>'[1]Data Sheet'!E66</f>
        <v>120127</v>
      </c>
      <c r="C25" s="12">
        <v>129992</v>
      </c>
      <c r="D25" s="12">
        <v>140924</v>
      </c>
      <c r="E25" s="12">
        <v>142859</v>
      </c>
      <c r="F25" s="12">
        <v>145472</v>
      </c>
      <c r="G25" s="12">
        <v>158649</v>
      </c>
    </row>
    <row r="27" spans="1:7" x14ac:dyDescent="0.3">
      <c r="A27" s="12" t="s">
        <v>18</v>
      </c>
      <c r="B27" s="12"/>
      <c r="C27" s="12">
        <v>42908</v>
      </c>
      <c r="D27" s="12">
        <v>43969</v>
      </c>
      <c r="E27" s="12">
        <v>39200</v>
      </c>
      <c r="F27" s="12">
        <v>45580</v>
      </c>
      <c r="G27" s="12">
        <v>48585</v>
      </c>
    </row>
    <row r="29" spans="1:7" x14ac:dyDescent="0.3">
      <c r="A29" s="11" t="s">
        <v>19</v>
      </c>
      <c r="B29" s="11"/>
      <c r="C29" s="18">
        <v>35764</v>
      </c>
      <c r="D29" s="18">
        <v>43967</v>
      </c>
      <c r="E29" s="18">
        <v>44747</v>
      </c>
      <c r="F29" s="18">
        <v>46962</v>
      </c>
      <c r="G29" s="18">
        <v>54501</v>
      </c>
    </row>
    <row r="30" spans="1:7" x14ac:dyDescent="0.3">
      <c r="C30" s="8"/>
      <c r="D30" s="8"/>
      <c r="E30" s="8"/>
      <c r="F30" s="8"/>
      <c r="G30" s="8"/>
    </row>
    <row r="31" spans="1:7" ht="21.6" customHeight="1" x14ac:dyDescent="0.3">
      <c r="A31" s="11" t="s">
        <v>20</v>
      </c>
      <c r="B31" s="11"/>
      <c r="C31" s="20">
        <f>C12/C21*100</f>
        <v>37.520391517128878</v>
      </c>
      <c r="D31" s="20">
        <f t="shared" ref="D31:G31" si="3">D12/D21*100</f>
        <v>42.996892493745726</v>
      </c>
      <c r="E31" s="20">
        <f t="shared" si="3"/>
        <v>46.610413164646552</v>
      </c>
      <c r="F31" s="20">
        <f t="shared" si="3"/>
        <v>50.733238294157303</v>
      </c>
      <c r="G31" s="20">
        <f t="shared" si="3"/>
        <v>51.240027016758837</v>
      </c>
    </row>
    <row r="32" spans="1:7" x14ac:dyDescent="0.3">
      <c r="C32" s="21"/>
      <c r="D32" s="21"/>
      <c r="E32" s="21"/>
      <c r="F32" s="21"/>
      <c r="G32" s="21"/>
    </row>
    <row r="33" spans="1:10" x14ac:dyDescent="0.3">
      <c r="A33" s="11" t="s">
        <v>21</v>
      </c>
      <c r="B33" s="11"/>
      <c r="C33" s="22">
        <f>C6/(C25-C29)*100</f>
        <v>49.397206775056247</v>
      </c>
      <c r="D33" s="22">
        <f t="shared" ref="D33:G33" si="4">D6/(D25-D29)*100</f>
        <v>54.722196437596047</v>
      </c>
      <c r="E33" s="22">
        <f t="shared" si="4"/>
        <v>60.399339530332682</v>
      </c>
      <c r="F33" s="22">
        <f t="shared" si="4"/>
        <v>65.268500659831489</v>
      </c>
      <c r="G33" s="22">
        <f t="shared" si="4"/>
        <v>64.722318239428503</v>
      </c>
    </row>
    <row r="35" spans="1:10" x14ac:dyDescent="0.3">
      <c r="A35" s="23" t="s">
        <v>22</v>
      </c>
      <c r="B35" s="23"/>
      <c r="C35" s="22">
        <f>C12/C4*100</f>
        <v>19.753071380278602</v>
      </c>
      <c r="D35" s="22">
        <f t="shared" ref="D35:G35" si="5">D12/D4*100</f>
        <v>19.987588264130082</v>
      </c>
      <c r="E35" s="22">
        <f t="shared" si="5"/>
        <v>18.693947431450646</v>
      </c>
      <c r="F35" s="22">
        <f t="shared" si="5"/>
        <v>19.057423835478822</v>
      </c>
      <c r="G35" s="22">
        <f t="shared" si="5"/>
        <v>19.01623035828986</v>
      </c>
      <c r="I35" s="17"/>
      <c r="J35" s="17"/>
    </row>
    <row r="36" spans="1:10" x14ac:dyDescent="0.3">
      <c r="A36" s="24"/>
      <c r="B36" s="24"/>
      <c r="C36" s="25"/>
      <c r="D36" s="25"/>
      <c r="E36" s="25"/>
      <c r="F36" s="25"/>
      <c r="G36" s="25"/>
    </row>
    <row r="37" spans="1:10" x14ac:dyDescent="0.3">
      <c r="A37" s="23" t="s">
        <v>23</v>
      </c>
      <c r="B37" s="23"/>
      <c r="C37" s="26">
        <f>C4/C25</f>
        <v>1.2629777217059512</v>
      </c>
      <c r="D37" s="26">
        <f t="shared" ref="D37:G37" si="6">D4/D25</f>
        <v>1.3606908688371038</v>
      </c>
      <c r="E37" s="26">
        <f t="shared" si="6"/>
        <v>1.5781854835887132</v>
      </c>
      <c r="F37" s="26">
        <f t="shared" si="6"/>
        <v>1.6559406621205455</v>
      </c>
      <c r="G37" s="26">
        <f t="shared" si="6"/>
        <v>1.6093640678478907</v>
      </c>
    </row>
    <row r="38" spans="1:10" x14ac:dyDescent="0.3">
      <c r="A38" s="24"/>
      <c r="B38" s="24"/>
      <c r="C38" s="25"/>
      <c r="D38" s="25"/>
      <c r="E38" s="25"/>
      <c r="F38" s="25"/>
      <c r="G38" s="25"/>
    </row>
    <row r="39" spans="1:10" x14ac:dyDescent="0.3">
      <c r="A39" s="23" t="s">
        <v>24</v>
      </c>
      <c r="B39" s="23"/>
      <c r="C39" s="27">
        <f>C23/C21</f>
        <v>9.0185461571390554E-2</v>
      </c>
      <c r="D39" s="27">
        <f t="shared" ref="D39:G39" si="7">D23/D21</f>
        <v>8.7705718035876554E-2</v>
      </c>
      <c r="E39" s="27">
        <f t="shared" si="7"/>
        <v>8.5021675661328858E-2</v>
      </c>
      <c r="F39" s="27">
        <f t="shared" si="7"/>
        <v>8.8640608250726602E-2</v>
      </c>
      <c r="G39" s="27">
        <f t="shared" si="7"/>
        <v>9.9117733969352861E-2</v>
      </c>
    </row>
    <row r="40" spans="1:10" x14ac:dyDescent="0.3">
      <c r="A40" s="24"/>
      <c r="B40" s="24"/>
      <c r="C40" s="25"/>
      <c r="D40" s="25"/>
      <c r="E40" s="25"/>
      <c r="F40" s="25"/>
      <c r="G40" s="25"/>
    </row>
    <row r="41" spans="1:10" x14ac:dyDescent="0.3">
      <c r="A41" s="23" t="s">
        <v>25</v>
      </c>
      <c r="B41" s="23"/>
      <c r="C41" s="27">
        <f>C6/C9</f>
        <v>73.070643642072213</v>
      </c>
      <c r="D41" s="27">
        <f t="shared" ref="D41:G41" si="8">D6/D9</f>
        <v>67.674744897959187</v>
      </c>
      <c r="E41" s="27">
        <f t="shared" si="8"/>
        <v>76.070603337612326</v>
      </c>
      <c r="F41" s="27">
        <f t="shared" si="8"/>
        <v>82.642673521850895</v>
      </c>
      <c r="G41" s="27">
        <f t="shared" si="8"/>
        <v>84.6821608040201</v>
      </c>
    </row>
    <row r="42" spans="1:10" x14ac:dyDescent="0.3">
      <c r="A42" s="25"/>
      <c r="B42" s="25"/>
      <c r="C42" s="25"/>
      <c r="D42" s="25"/>
      <c r="E42" s="25"/>
      <c r="F42" s="25"/>
      <c r="G42" s="25"/>
    </row>
    <row r="43" spans="1:10" x14ac:dyDescent="0.3">
      <c r="A43" s="28" t="s">
        <v>26</v>
      </c>
      <c r="B43" s="28"/>
      <c r="C43" s="29">
        <f>C27/C29</f>
        <v>1.1997539425120232</v>
      </c>
      <c r="D43" s="29">
        <f t="shared" ref="D43:G43" si="9">D27/D29</f>
        <v>1.000045488661951</v>
      </c>
      <c r="E43" s="29">
        <f t="shared" si="9"/>
        <v>0.87603638232730685</v>
      </c>
      <c r="F43" s="29">
        <f t="shared" si="9"/>
        <v>0.97057195179080957</v>
      </c>
      <c r="G43" s="29">
        <f t="shared" si="9"/>
        <v>0.8914515329993945</v>
      </c>
    </row>
    <row r="44" spans="1:10" x14ac:dyDescent="0.3">
      <c r="A44" s="25"/>
      <c r="B44" s="25"/>
      <c r="C44" s="25"/>
      <c r="D44" s="25"/>
      <c r="E44" s="25"/>
      <c r="F44" s="25"/>
      <c r="G44" s="25"/>
    </row>
    <row r="45" spans="1:10" x14ac:dyDescent="0.3">
      <c r="A45" s="28" t="s">
        <v>27</v>
      </c>
      <c r="B45" s="28"/>
      <c r="C45" s="29">
        <f>C15/C13</f>
        <v>36.247872139993838</v>
      </c>
      <c r="D45" s="29">
        <f t="shared" ref="D45:G45" si="10">D15/D13</f>
        <v>35.705510593054505</v>
      </c>
      <c r="E45" s="29">
        <f t="shared" si="10"/>
        <v>27.832843832301233</v>
      </c>
      <c r="F45" s="29">
        <f t="shared" si="10"/>
        <v>30.549884617060208</v>
      </c>
      <c r="G45" s="29">
        <f t="shared" si="10"/>
        <v>26.872513160875748</v>
      </c>
    </row>
    <row r="46" spans="1:10" x14ac:dyDescent="0.3">
      <c r="A46" s="25"/>
      <c r="B46" s="25"/>
      <c r="C46" s="28"/>
      <c r="D46" s="28"/>
      <c r="E46" s="28"/>
      <c r="F46" s="28"/>
      <c r="G46" s="28"/>
    </row>
    <row r="47" spans="1:10" x14ac:dyDescent="0.3">
      <c r="A47" s="23" t="s">
        <v>28</v>
      </c>
      <c r="B47" s="23"/>
      <c r="C47" s="28">
        <f>C13-B13/B13*100</f>
        <v>-12.330026222594697</v>
      </c>
      <c r="D47" s="29">
        <f>D13-C13/C13*100</f>
        <v>4.7443360389166713</v>
      </c>
      <c r="E47" s="29">
        <f t="shared" ref="E47:G47" si="11">E13-D13/D13*100</f>
        <v>15.1840616545052</v>
      </c>
      <c r="F47" s="29">
        <f t="shared" si="11"/>
        <v>26.884276277604272</v>
      </c>
      <c r="G47" s="29">
        <f t="shared" si="11"/>
        <v>34.194743097205702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2797-E2B8-48C0-AF5A-A48AD6FC6932}">
  <dimension ref="A1:J12"/>
  <sheetViews>
    <sheetView tabSelected="1" workbookViewId="0">
      <selection activeCell="H9" sqref="H9"/>
    </sheetView>
  </sheetViews>
  <sheetFormatPr defaultRowHeight="14.4" x14ac:dyDescent="0.3"/>
  <cols>
    <col min="1" max="1" width="22.6640625" customWidth="1"/>
    <col min="2" max="2" width="15.5546875" customWidth="1"/>
    <col min="3" max="6" width="10.5546875" bestFit="1" customWidth="1"/>
    <col min="7" max="7" width="17.6640625" customWidth="1"/>
    <col min="8" max="8" width="42" customWidth="1"/>
  </cols>
  <sheetData>
    <row r="1" spans="1:10" ht="26.4" customHeight="1" x14ac:dyDescent="0.45">
      <c r="A1" s="41" t="s">
        <v>29</v>
      </c>
      <c r="B1" s="41"/>
      <c r="C1" s="41"/>
      <c r="D1" s="41"/>
      <c r="E1" s="41"/>
      <c r="F1" s="41"/>
      <c r="G1" s="41"/>
      <c r="H1" s="41"/>
      <c r="I1" s="41"/>
      <c r="J1" s="41"/>
    </row>
    <row r="3" spans="1:10" ht="21" x14ac:dyDescent="0.3">
      <c r="A3" s="32" t="s">
        <v>37</v>
      </c>
      <c r="B3" s="32" t="s">
        <v>30</v>
      </c>
      <c r="C3" s="32" t="s">
        <v>31</v>
      </c>
      <c r="D3" s="32" t="s">
        <v>32</v>
      </c>
      <c r="E3" s="32" t="s">
        <v>33</v>
      </c>
      <c r="F3" s="32" t="s">
        <v>34</v>
      </c>
      <c r="G3" s="32" t="s">
        <v>35</v>
      </c>
      <c r="H3" s="32" t="s">
        <v>36</v>
      </c>
    </row>
    <row r="4" spans="1:10" ht="36" customHeight="1" x14ac:dyDescent="0.3">
      <c r="A4" s="33" t="s">
        <v>38</v>
      </c>
      <c r="B4" s="30">
        <f>'raw data'!C31</f>
        <v>37.520391517128878</v>
      </c>
      <c r="C4" s="30">
        <f>'raw data'!D31</f>
        <v>42.996892493745726</v>
      </c>
      <c r="D4" s="30">
        <f>'raw data'!E31</f>
        <v>46.610413164646552</v>
      </c>
      <c r="E4" s="30">
        <f>'raw data'!F31</f>
        <v>50.733238294157303</v>
      </c>
      <c r="F4" s="30">
        <f>'raw data'!G31</f>
        <v>51.240027016758837</v>
      </c>
      <c r="G4" s="25"/>
      <c r="H4" s="42" t="s">
        <v>42</v>
      </c>
    </row>
    <row r="5" spans="1:10" ht="41.4" customHeight="1" x14ac:dyDescent="0.3">
      <c r="A5" s="33" t="s">
        <v>39</v>
      </c>
      <c r="B5" s="30">
        <f>'raw data'!C33</f>
        <v>49.397206775056247</v>
      </c>
      <c r="C5" s="30">
        <f>'raw data'!D33</f>
        <v>54.722196437596047</v>
      </c>
      <c r="D5" s="30">
        <f>'raw data'!E33</f>
        <v>60.399339530332682</v>
      </c>
      <c r="E5" s="30">
        <f>'raw data'!F33</f>
        <v>65.268500659831489</v>
      </c>
      <c r="F5" s="30">
        <f>'raw data'!G33</f>
        <v>64.722318239428503</v>
      </c>
      <c r="G5" s="25"/>
      <c r="H5" s="43" t="s">
        <v>43</v>
      </c>
    </row>
    <row r="6" spans="1:10" ht="45.6" customHeight="1" x14ac:dyDescent="0.3">
      <c r="A6" s="33" t="s">
        <v>40</v>
      </c>
      <c r="B6" s="30">
        <f>'raw data'!C35</f>
        <v>19.753071380278602</v>
      </c>
      <c r="C6" s="30">
        <f>'raw data'!D35</f>
        <v>19.987588264130082</v>
      </c>
      <c r="D6" s="30">
        <f>'raw data'!E35</f>
        <v>18.693947431450646</v>
      </c>
      <c r="E6" s="30">
        <f>'raw data'!F35</f>
        <v>19.057423835478822</v>
      </c>
      <c r="F6" s="30">
        <f>'raw data'!G35</f>
        <v>19.01623035828986</v>
      </c>
      <c r="G6" s="25"/>
      <c r="H6" s="42" t="s">
        <v>44</v>
      </c>
    </row>
    <row r="7" spans="1:10" ht="28.8" customHeight="1" x14ac:dyDescent="0.3">
      <c r="A7" s="33" t="s">
        <v>23</v>
      </c>
      <c r="B7" s="30">
        <f>'raw data'!C37</f>
        <v>1.2629777217059512</v>
      </c>
      <c r="C7" s="30">
        <f>'raw data'!D37</f>
        <v>1.3606908688371038</v>
      </c>
      <c r="D7" s="30">
        <f>'raw data'!E37</f>
        <v>1.5781854835887132</v>
      </c>
      <c r="E7" s="30">
        <f>'raw data'!F37</f>
        <v>1.6559406621205455</v>
      </c>
      <c r="F7" s="30">
        <f>'raw data'!G37</f>
        <v>1.6093640678478907</v>
      </c>
      <c r="G7" s="25"/>
      <c r="H7" s="43" t="s">
        <v>49</v>
      </c>
    </row>
    <row r="8" spans="1:10" ht="35.4" customHeight="1" x14ac:dyDescent="0.3">
      <c r="A8" s="33" t="s">
        <v>24</v>
      </c>
      <c r="B8" s="31">
        <f>'raw data'!C39</f>
        <v>9.0185461571390554E-2</v>
      </c>
      <c r="C8" s="31">
        <f>'raw data'!D39</f>
        <v>8.7705718035876554E-2</v>
      </c>
      <c r="D8" s="31">
        <f>'raw data'!E39</f>
        <v>8.5021675661328858E-2</v>
      </c>
      <c r="E8" s="31">
        <f>'raw data'!F39</f>
        <v>8.8640608250726602E-2</v>
      </c>
      <c r="F8" s="31">
        <f>'raw data'!G39</f>
        <v>9.9117733969352861E-2</v>
      </c>
      <c r="G8" s="25"/>
      <c r="H8" s="42" t="s">
        <v>45</v>
      </c>
    </row>
    <row r="9" spans="1:10" ht="30.6" customHeight="1" x14ac:dyDescent="0.3">
      <c r="A9" s="33" t="s">
        <v>25</v>
      </c>
      <c r="B9" s="19">
        <f>'raw data'!C41</f>
        <v>73.070643642072213</v>
      </c>
      <c r="C9" s="19">
        <f>'raw data'!D41</f>
        <v>67.674744897959187</v>
      </c>
      <c r="D9" s="19">
        <f>'raw data'!E41</f>
        <v>76.070603337612326</v>
      </c>
      <c r="E9" s="19">
        <f>'raw data'!F41</f>
        <v>82.642673521850895</v>
      </c>
      <c r="F9" s="19">
        <f>'raw data'!G41</f>
        <v>84.6821608040201</v>
      </c>
      <c r="G9" s="25"/>
      <c r="H9" s="43" t="s">
        <v>46</v>
      </c>
    </row>
    <row r="10" spans="1:10" ht="28.8" customHeight="1" x14ac:dyDescent="0.3">
      <c r="A10" s="33" t="s">
        <v>26</v>
      </c>
      <c r="B10" s="30">
        <f>'raw data'!C43</f>
        <v>1.1997539425120232</v>
      </c>
      <c r="C10" s="30">
        <f>'raw data'!D43</f>
        <v>1.000045488661951</v>
      </c>
      <c r="D10" s="30">
        <f>'raw data'!E43</f>
        <v>0.87603638232730685</v>
      </c>
      <c r="E10" s="30">
        <f>'raw data'!F43</f>
        <v>0.97057195179080957</v>
      </c>
      <c r="F10" s="30">
        <f>'raw data'!G43</f>
        <v>0.8914515329993945</v>
      </c>
      <c r="G10" s="25"/>
      <c r="H10" s="42" t="s">
        <v>47</v>
      </c>
    </row>
    <row r="11" spans="1:10" ht="26.4" customHeight="1" x14ac:dyDescent="0.3">
      <c r="A11" s="33" t="s">
        <v>27</v>
      </c>
      <c r="B11" s="30">
        <f>'raw data'!C45</f>
        <v>36.247872139993838</v>
      </c>
      <c r="C11" s="30">
        <f>'raw data'!D45</f>
        <v>35.705510593054505</v>
      </c>
      <c r="D11" s="30">
        <f>'raw data'!E45</f>
        <v>27.832843832301233</v>
      </c>
      <c r="E11" s="30">
        <f>'raw data'!F45</f>
        <v>30.549884617060208</v>
      </c>
      <c r="F11" s="30">
        <f>'raw data'!G45</f>
        <v>26.872513160875748</v>
      </c>
      <c r="G11" s="25"/>
      <c r="H11" s="43" t="s">
        <v>50</v>
      </c>
    </row>
    <row r="12" spans="1:10" ht="27.6" customHeight="1" thickBot="1" x14ac:dyDescent="0.35">
      <c r="A12" s="33" t="s">
        <v>41</v>
      </c>
      <c r="B12" s="30"/>
      <c r="C12" s="30">
        <f>'raw data'!D47</f>
        <v>4.7443360389166713</v>
      </c>
      <c r="D12" s="30">
        <f>'raw data'!E47</f>
        <v>15.1840616545052</v>
      </c>
      <c r="E12" s="30">
        <f>'raw data'!F47</f>
        <v>26.884276277604272</v>
      </c>
      <c r="F12" s="30">
        <f>'raw data'!G47</f>
        <v>34.194743097205702</v>
      </c>
      <c r="G12" s="25"/>
      <c r="H12" s="44" t="s">
        <v>48</v>
      </c>
    </row>
  </sheetData>
  <mergeCells count="1">
    <mergeCell ref="A1:J1"/>
  </mergeCells>
  <conditionalFormatting sqref="B7:F7">
    <cfRule type="colorScale" priority="9">
      <colorScale>
        <cfvo type="min"/>
        <cfvo type="max"/>
        <color rgb="FF63BE7B"/>
        <color rgb="FFFFEF9C"/>
      </colorScale>
    </cfRule>
  </conditionalFormatting>
  <conditionalFormatting sqref="B7:F8 B10:F1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FF0000"/>
        <color rgb="FF00B050"/>
      </colorScale>
    </cfRule>
  </conditionalFormatting>
  <conditionalFormatting sqref="B8:F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max"/>
        <color rgb="FF63BE7B"/>
        <color rgb="FFFFEF9C"/>
      </colorScale>
    </cfRule>
  </conditionalFormatting>
  <conditionalFormatting sqref="B10:F10">
    <cfRule type="colorScale" priority="6">
      <colorScale>
        <cfvo type="min"/>
        <cfvo type="max"/>
        <color rgb="FF63BE7B"/>
        <color rgb="FFFFEF9C"/>
      </colorScale>
    </cfRule>
  </conditionalFormatting>
  <conditionalFormatting sqref="B11:F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7382735-9909-4DDA-B6F9-E9657F29D1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visualization!B4:F4</xm:f>
              <xm:sqref>G4</xm:sqref>
            </x14:sparkline>
            <x14:sparkline>
              <xm:f>visualization!B5:F5</xm:f>
              <xm:sqref>G5</xm:sqref>
            </x14:sparkline>
            <x14:sparkline>
              <xm:f>visualization!B6:F6</xm:f>
              <xm:sqref>G6</xm:sqref>
            </x14:sparkline>
            <x14:sparkline>
              <xm:f>visualization!B7:F7</xm:f>
              <xm:sqref>G7</xm:sqref>
            </x14:sparkline>
            <x14:sparkline>
              <xm:f>visualization!B8:F8</xm:f>
              <xm:sqref>G8</xm:sqref>
            </x14:sparkline>
            <x14:sparkline>
              <xm:f>visualization!B9:F9</xm:f>
              <xm:sqref>G9</xm:sqref>
            </x14:sparkline>
            <x14:sparkline>
              <xm:f>visualization!B10:F10</xm:f>
              <xm:sqref>G10</xm:sqref>
            </x14:sparkline>
            <x14:sparkline>
              <xm:f>visualization!B11:F11</xm:f>
              <xm:sqref>G11</xm:sqref>
            </x14:sparkline>
            <x14:sparkline>
              <xm:f>visualization!B12:F12</xm:f>
              <xm:sqref>G12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SHARMA</dc:creator>
  <cp:lastModifiedBy>SAGNIK SHARMA</cp:lastModifiedBy>
  <dcterms:created xsi:type="dcterms:W3CDTF">2026-04-23T04:16:35Z</dcterms:created>
  <dcterms:modified xsi:type="dcterms:W3CDTF">2026-04-23T15:15:38Z</dcterms:modified>
</cp:coreProperties>
</file>